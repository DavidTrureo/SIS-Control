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" sheetId="1" r:id="rId4"/>
    <sheet state="visible" name="RF" sheetId="2" r:id="rId5"/>
    <sheet state="visible" name="TA - SP2" sheetId="3" r:id="rId6"/>
    <sheet state="visible" name="Diagramas" sheetId="4" r:id="rId7"/>
  </sheets>
  <definedNames/>
  <calcPr/>
  <extLst>
    <ext uri="GoogleSheetsCustomDataVersion2">
      <go:sheetsCustomData xmlns:go="http://customooxmlschemas.google.com/" r:id="rId8" roundtripDataChecksum="yVzM+E2l5qZEmlDmfvVemeJIA+4cbc8uuzvi0QFYW8A="/>
    </ext>
  </extLst>
</workbook>
</file>

<file path=xl/sharedStrings.xml><?xml version="1.0" encoding="utf-8"?>
<sst xmlns="http://schemas.openxmlformats.org/spreadsheetml/2006/main" count="681" uniqueCount="371">
  <si>
    <t>ID</t>
  </si>
  <si>
    <t>Épica</t>
  </si>
  <si>
    <t>Actor</t>
  </si>
  <si>
    <t>Descripción breve</t>
  </si>
  <si>
    <t>Historia de Usuario</t>
  </si>
  <si>
    <t>Criterios de Aceptación</t>
  </si>
  <si>
    <t>Prioridad</t>
  </si>
  <si>
    <t>HU-01</t>
  </si>
  <si>
    <t>Autenticación</t>
  </si>
  <si>
    <t>Guardia</t>
  </si>
  <si>
    <t>Login guardia</t>
  </si>
  <si>
    <t>Como guardia quiero iniciar sesión en la aplicación con mis credenciales para acceder a las funcionalidades según mi rol.</t>
  </si>
  <si>
    <t>Puede ingresar usuario/clave válidos; accede solo a funciones de guardia; muestra error si credenciales inválidas</t>
  </si>
  <si>
    <t>Muy alta</t>
  </si>
  <si>
    <t>HU-02</t>
  </si>
  <si>
    <t>Supervisor</t>
  </si>
  <si>
    <t>Login supervisor</t>
  </si>
  <si>
    <t>Como supervisor quiero iniciar sesión en la aplicación con mis credenciales para acceder a las funcionalidades según mi rol.</t>
  </si>
  <si>
    <t>Puede autenticarse; accede a vistas de supervisión; error ante credenciales incorrectas</t>
  </si>
  <si>
    <t>HU-03</t>
  </si>
  <si>
    <t>Administrador</t>
  </si>
  <si>
    <t>Login administrador</t>
  </si>
  <si>
    <t>Como Administrador quiero iniciar sesión en la aplicación con mis credenciales para acceder a las funcionalidades según mi rol.</t>
  </si>
  <si>
    <t>Puede autenticarse; accede a funciones administrativas; validación de credenciales</t>
  </si>
  <si>
    <t>HU-04</t>
  </si>
  <si>
    <t>Gestión de usuarios</t>
  </si>
  <si>
    <t>Acceso vistas admin</t>
  </si>
  <si>
    <t>Como administrador quiero tener acceso a las vistas Registro de usuario, Marcar estación, Histórico de rondas, rutas de vigilancia, reportes y control de cumplimiento de rondas para realizar soporte</t>
  </si>
  <si>
    <t>Puede ver registro de usuarios, marcar estación, histórico, rutas, reportes y cumplimiento</t>
  </si>
  <si>
    <t>Alta</t>
  </si>
  <si>
    <t>HU-05</t>
  </si>
  <si>
    <t>Inicio personalizado admin</t>
  </si>
  <si>
    <t>Como administrador quiero tener acceso a las vistas Inicio sesión en el que me permira acceder a una pantalla de inicio personalizada de acuerdo a mi rol</t>
  </si>
  <si>
    <t>Al iniciar sesión ve dashboard acorde a su rol</t>
  </si>
  <si>
    <t>Media</t>
  </si>
  <si>
    <t>HU-06</t>
  </si>
  <si>
    <t>Acceso supervisor</t>
  </si>
  <si>
    <t>Como supervisor quiero tener acceso a las vistas rutas de vigilancia, reportes y control de cumplimiento de rondas para poder realizar la supervisión de los guardias de todas las sucursales</t>
  </si>
  <si>
    <t>Puede ver rutas, reportes y cumplimiento de rondas de todas las sucursales</t>
  </si>
  <si>
    <t>HU-07</t>
  </si>
  <si>
    <t>Inicio personalizado supervisor</t>
  </si>
  <si>
    <t>Como Supervisor quiero tener acceso a las vistas Inicio sesión en el que me permira acceder a una pantalla de inicio personalizada de acuerdo a mi rol</t>
  </si>
  <si>
    <t>Visualiza pantalla inicial acorde a su rol</t>
  </si>
  <si>
    <t>HU-08</t>
  </si>
  <si>
    <t>Gestión de rondas</t>
  </si>
  <si>
    <t>Acceso rondas guardia</t>
  </si>
  <si>
    <t>Como supervisor quiero tener acceso a las vistas rutas de vigilancia, Histórico de rondas y Marcar estación</t>
  </si>
  <si>
    <t>Puede acceder a rutas, histórico y marcar estación</t>
  </si>
  <si>
    <t>HU-09</t>
  </si>
  <si>
    <t>Ver rutas asignadas</t>
  </si>
  <si>
    <t>Como guardia quiero ver las rutas de vigilancia que tengo asignadas para saber qué recorrido debo realizar.</t>
  </si>
  <si>
    <t>Visualiza rutas asignadas actualizadas</t>
  </si>
  <si>
    <t>HU-10</t>
  </si>
  <si>
    <t>Iniciar ronda</t>
  </si>
  <si>
    <t>Como guardia quiero iniciar una ronda desde la app para que el sistema registre el comienzo del recorrido.</t>
  </si>
  <si>
    <t>Puede iniciar ronda; sistema registra hora y estado “en curso”</t>
  </si>
  <si>
    <t>HU-11</t>
  </si>
  <si>
    <t>Histórico rondas</t>
  </si>
  <si>
    <t>Como guardia quiero tener un historico de rondas de todos mis recorridos</t>
  </si>
  <si>
    <t>Puede ver listado de rondas pasadas</t>
  </si>
  <si>
    <t>HU-12</t>
  </si>
  <si>
    <t>Checkpoints</t>
  </si>
  <si>
    <t>Escaneo checkpoint QR</t>
  </si>
  <si>
    <t>Como guardia quiero escanear un checkpoint QR para dejar evidencia de mi paso por ese punto de control.</t>
  </si>
  <si>
    <t>Escanea QR; sistema registra checkpoint correctamente</t>
  </si>
  <si>
    <t>HU-13</t>
  </si>
  <si>
    <t>GPS en checkpoint</t>
  </si>
  <si>
    <t>Como supervisor quiero que cada checkpoint registrado incluya ubicación GPS para verificar que el guardia estuvo en el lugar esperado.</t>
  </si>
  <si>
    <t>Cada checkpoint guarda ubicación GPS válida</t>
  </si>
  <si>
    <t>HU-14</t>
  </si>
  <si>
    <t>Finalizar ronda</t>
  </si>
  <si>
    <t>Como guardia quiero finalizar una ronda para registrar formalmente el cierre del recorrido.</t>
  </si>
  <si>
    <t>Puede cerrar ronda; sistema registra hora de término</t>
  </si>
  <si>
    <t>HU-15</t>
  </si>
  <si>
    <t>Monitoreo</t>
  </si>
  <si>
    <t>Estado de rondas</t>
  </si>
  <si>
    <t>Como supervisor quiero ver el estado de las rondas para monitorear cuáles están pendientes, en curso o finalizadas.</t>
  </si>
  <si>
    <t>Supervisor ve rondas: pendientes, en curso y finalizadas</t>
  </si>
  <si>
    <t>HU-16</t>
  </si>
  <si>
    <t>Detalle de ronda</t>
  </si>
  <si>
    <t>Como supervisor quiero ver el detalle de una ronda específica para revisar checkpoints registrados e incidencias asociadas.</t>
  </si>
  <si>
    <t>Puede ver checkpoints e incidencias asociadas</t>
  </si>
  <si>
    <t>HU-17</t>
  </si>
  <si>
    <t>Alertas</t>
  </si>
  <si>
    <t>Alertas de problemas</t>
  </si>
  <si>
    <t>Como supervisor quiero recibir alertas cuando una ronda presente problemas para actuar oportunamente ante incumplimientos.</t>
  </si>
  <si>
    <t>Recibe notificación ante incumplimientos o fallas</t>
  </si>
  <si>
    <t>Media-Alta</t>
  </si>
  <si>
    <t>HU-18</t>
  </si>
  <si>
    <t>Incidencias</t>
  </si>
  <si>
    <t>Registrar incidencia</t>
  </si>
  <si>
    <t>Como guardia quiero registrar una incidencia en terreno para informar situaciones relevantes ocurridas durante la ronda.</t>
  </si>
  <si>
    <t>Guardia puede crear incidencia con datos básicos</t>
  </si>
  <si>
    <t>HU-19</t>
  </si>
  <si>
    <t>Foto en incidencia</t>
  </si>
  <si>
    <t>Como guardia quiero adjuntar una foto a una incidencia para respaldar visualmente lo informado.</t>
  </si>
  <si>
    <t>Puede adjuntar imagen a incidencia</t>
  </si>
  <si>
    <t>HU-20</t>
  </si>
  <si>
    <t>IA</t>
  </si>
  <si>
    <t>Clasificación IA</t>
  </si>
  <si>
    <t>Como supervisor quiero que la IA clasifique automáticamente las incidencias reportadas para facilitar su análisis y gestión.</t>
  </si>
  <si>
    <t>Sistema clasifica incidencias automáticamente</t>
  </si>
  <si>
    <t>baja</t>
  </si>
  <si>
    <t>HU-21</t>
  </si>
  <si>
    <t>Prioridad IA</t>
  </si>
  <si>
    <t>Como supervisor quiero que la IA asigne una prioridad a cada incidencia para saber cuáles atender primero.</t>
  </si>
  <si>
    <t>Sistema asigna prioridad (alta, media, baja)</t>
  </si>
  <si>
    <t>HU-22</t>
  </si>
  <si>
    <t>Consultas en lenguaje natural</t>
  </si>
  <si>
    <t>Como supervisor quiero hacer preguntas en lenguaje natural al sistema para obtener información operativa sin revisar manualmente todos los registros.</t>
  </si>
  <si>
    <t>Puede hacer preguntas y obtener respuestas del sistema</t>
  </si>
  <si>
    <t>HU-23</t>
  </si>
  <si>
    <t>Reportes</t>
  </si>
  <si>
    <t>Supervisor / Cliente</t>
  </si>
  <si>
    <t>Resumen automático</t>
  </si>
  <si>
    <t>Como supervisor o cliente final quiero obtener un resumen automático del turno o de una instalación para revisar rápidamente el estado general del servicio.</t>
  </si>
  <si>
    <t>Genera resumen de turno o instalación automáticamente</t>
  </si>
  <si>
    <t>HU-24</t>
  </si>
  <si>
    <t>Reporte cumplimiento</t>
  </si>
  <si>
    <t>Como supervisor quiero generar un reporte de cumplimiento de rondas para evaluar el desempeño operativo.</t>
  </si>
  <si>
    <t>Genera reporte de rondas con métricas claras</t>
  </si>
  <si>
    <t>Módulo</t>
  </si>
  <si>
    <t>Requisito</t>
  </si>
  <si>
    <t>Detalle</t>
  </si>
  <si>
    <t>HU Relacionado</t>
  </si>
  <si>
    <t>Criterios de aceptación</t>
  </si>
  <si>
    <t>Sprint</t>
  </si>
  <si>
    <t>RF-01</t>
  </si>
  <si>
    <t>LOGIN</t>
  </si>
  <si>
    <t>Autenticación de usuarios</t>
  </si>
  <si>
    <t>El sistema debe permitir a los usuarios iniciar sesión mediante usuario y contraseña.</t>
  </si>
  <si>
    <t>HU-01, HU-02, HU-03</t>
  </si>
  <si>
    <t>El usuario puede ingresar usuario y contraseña.</t>
  </si>
  <si>
    <t>El sistema valida que los campos no estén vacíos.</t>
  </si>
  <si>
    <t>El sistema permite el acceso con credenciales válidas.</t>
  </si>
  <si>
    <t>RF-02</t>
  </si>
  <si>
    <t>Validación de credenciales</t>
  </si>
  <si>
    <t>El sistema debe validar las credenciales contra la base de datos.</t>
  </si>
  <si>
    <t>El sistema verifica que el usuario exista.</t>
  </si>
  <si>
    <t>La contraseña ingresada es comparada con la almacenada (encriptada).</t>
  </si>
  <si>
    <t>Se permite acceso solo si las credenciales son correctas.</t>
  </si>
  <si>
    <t>RF-03</t>
  </si>
  <si>
    <t>Manejo de errores de autenticación</t>
  </si>
  <si>
    <t>El sistema debe mostrar mensajes de error cuando las credenciales sean incorrectas.</t>
  </si>
  <si>
    <t>Se muestra mensaje si el usuario no existe.</t>
  </si>
  <si>
    <t>Se muestra mensaje si la contraseña es incorrecta.</t>
  </si>
  <si>
    <t>No se revela información sensible del sistema.</t>
  </si>
  <si>
    <t>RF-04</t>
  </si>
  <si>
    <t>Gestión de sesión</t>
  </si>
  <si>
    <t>El sistema debe crear y mantener una sesión activa tras autenticación exitosa.</t>
  </si>
  <si>
    <t>Se genera un token de sesión (JWT).</t>
  </si>
  <si>
    <t>La sesión se mantiene mientras el token sea válido.</t>
  </si>
  <si>
    <t>Se invalida la sesión al cerrar sesión.</t>
  </si>
  <si>
    <t>RF-05</t>
  </si>
  <si>
    <t>Control de acceso por rol</t>
  </si>
  <si>
    <t>El sistema debe restringir el acceso según el rol del usuario.</t>
  </si>
  <si>
    <t>HU-01 a HU-07</t>
  </si>
  <si>
    <t>El sistema identifica el rol (Guardia, Supervisor, Administrador).</t>
  </si>
  <si>
    <t>Cada rol accede solo a funcionalidades permitidas.</t>
  </si>
  <si>
    <t>No se permite acceso a vistas no autorizadas.</t>
  </si>
  <si>
    <t>RF-06</t>
  </si>
  <si>
    <t>Redirección por rol</t>
  </si>
  <si>
    <t>El sistema debe redirigir al usuario a una pantalla personalizada según su rol.</t>
  </si>
  <si>
    <t>HU-05, HU-07, HU-09</t>
  </si>
  <si>
    <t>Guardia → vista de rondas (Consultar al diagrama de casos de uso)</t>
  </si>
  <si>
    <t>Supervisor → vista de monitoreo (Consultar al diagrama de casos de uso)</t>
  </si>
  <si>
    <t>Administrador → dashboard completo (Consultar al diagrama de casos de uso)</t>
  </si>
  <si>
    <t>RF-07</t>
  </si>
  <si>
    <t>GESTIÓN DE RONDAS</t>
  </si>
  <si>
    <t>Visualización de rutas</t>
  </si>
  <si>
    <t>El sistema debe permitir al guardia visualizar sus rutas asignadas.</t>
  </si>
  <si>
    <t>El guardia ve rutas asignadas actualizadas.</t>
  </si>
  <si>
    <t>Solo visualiza rutas correspondientes a su usuario.</t>
  </si>
  <si>
    <t>RF-08</t>
  </si>
  <si>
    <t>Inicio de ronda</t>
  </si>
  <si>
    <t>El sistema debe permitir iniciar una ronda.</t>
  </si>
  <si>
    <t>El usuario puede iniciar una ronda desde la app.</t>
  </si>
  <si>
    <t>El sistema registra fecha, hora y estado “en curso”.</t>
  </si>
  <si>
    <t>RF-09</t>
  </si>
  <si>
    <t>Finalización de ronda</t>
  </si>
  <si>
    <t>El sistema debe permitir finalizar una ronda.</t>
  </si>
  <si>
    <t>El usuario puede cerrar la ronda.</t>
  </si>
  <si>
    <t>Se registra fecha y hora de término.</t>
  </si>
  <si>
    <t>El estado cambia a “finalizada”.</t>
  </si>
  <si>
    <t>RF-10</t>
  </si>
  <si>
    <t>Histórico de rondas</t>
  </si>
  <si>
    <t>El sistema debe permitir visualizar rondas anteriores.</t>
  </si>
  <si>
    <t>Se muestra listado de rondas pasadas.</t>
  </si>
  <si>
    <t>Incluye fechas y estados.</t>
  </si>
  <si>
    <t>RF-11</t>
  </si>
  <si>
    <t>CHECKPOINTS</t>
  </si>
  <si>
    <t>Registro de checkpoint (QR)</t>
  </si>
  <si>
    <t>El sistema debe permitir escanear códigos QR.</t>
  </si>
  <si>
    <t>El guardia puede escanear QR.</t>
  </si>
  <si>
    <t>El sistema registra el checkpoint correctamente.</t>
  </si>
  <si>
    <t>RF-12</t>
  </si>
  <si>
    <t>Registro de ubicación GPS</t>
  </si>
  <si>
    <t>El sistema debe almacenar ubicación en cada checkpoint.</t>
  </si>
  <si>
    <t>Se guarda latitud y longitud.</t>
  </si>
  <si>
    <t>La ubicación corresponde al momento del escaneo.</t>
  </si>
  <si>
    <t>RF-13</t>
  </si>
  <si>
    <t>MONITOREO</t>
  </si>
  <si>
    <t>El sistema debe mostrar estado de rondas.</t>
  </si>
  <si>
    <t>Se visualizan rondas: pendientes, en curso y finalizadas.</t>
  </si>
  <si>
    <t>RF-14</t>
  </si>
  <si>
    <t>El sistema debe mostrar información detallada de una ronda.</t>
  </si>
  <si>
    <t>Incluye checkpoints e incidencias.</t>
  </si>
  <si>
    <t>RF-15</t>
  </si>
  <si>
    <t>ALERTAS</t>
  </si>
  <si>
    <t>Generación de alertas</t>
  </si>
  <si>
    <t>El sistema debe generar alertas ante problemas.</t>
  </si>
  <si>
    <t>Se notifica incumplimiento de rondas.</t>
  </si>
  <si>
    <t>Se generan alertas en tiempo oportuno.</t>
  </si>
  <si>
    <t>RF-16</t>
  </si>
  <si>
    <t>INCIDENCIAS</t>
  </si>
  <si>
    <t>Registro de incidencias</t>
  </si>
  <si>
    <t>El sistema debe permitir registrar incidencias.</t>
  </si>
  <si>
    <t>El guardia puede crear incidencias.</t>
  </si>
  <si>
    <t>Incluye descripción y datos básicos.</t>
  </si>
  <si>
    <t>RF-17</t>
  </si>
  <si>
    <t>Adjuntar evidencia</t>
  </si>
  <si>
    <t>El sistema debe permitir adjuntar imágenes.</t>
  </si>
  <si>
    <t>Se pueden subir fotos.</t>
  </si>
  <si>
    <t>La imagen queda asociada a la incidencia.</t>
  </si>
  <si>
    <t>RF-18</t>
  </si>
  <si>
    <t>INTELIGENCIA ARTIFICIAL</t>
  </si>
  <si>
    <t>Clasificación automática</t>
  </si>
  <si>
    <t>El sistema debe clasificar incidencias automáticamente.</t>
  </si>
  <si>
    <t>Se asigna categoría automáticamente.</t>
  </si>
  <si>
    <t>RF-19</t>
  </si>
  <si>
    <t>Priorización de incidencias</t>
  </si>
  <si>
    <t>El sistema debe asignar prioridad.</t>
  </si>
  <si>
    <t>Se asigna prioridad: alta, media o baja.</t>
  </si>
  <si>
    <t>RF-20</t>
  </si>
  <si>
    <t>REPORTES</t>
  </si>
  <si>
    <t>El sistema debe generar resúmenes.</t>
  </si>
  <si>
    <t>Se genera resumen por turno o instalación.</t>
  </si>
  <si>
    <t>RF-21</t>
  </si>
  <si>
    <t>Reporte de cumplimiento</t>
  </si>
  <si>
    <t>El sistema debe generar reportes de rondas.</t>
  </si>
  <si>
    <t>Incluye métricas claras.</t>
  </si>
  <si>
    <t>RF-22</t>
  </si>
  <si>
    <t>Estadísticas para cliente</t>
  </si>
  <si>
    <t>El sistema debe mostrar indicadores.</t>
  </si>
  <si>
    <t>HU-25</t>
  </si>
  <si>
    <t>Cliente visualiza cumplimiento e incidencias.</t>
  </si>
  <si>
    <t>Código</t>
  </si>
  <si>
    <t>Tarea</t>
  </si>
  <si>
    <t>Descripción</t>
  </si>
  <si>
    <t>Tipo</t>
  </si>
  <si>
    <t>Requisito Funcional</t>
  </si>
  <si>
    <t>Nombre Trello</t>
  </si>
  <si>
    <t>Columna1</t>
  </si>
  <si>
    <t>TA-01</t>
  </si>
  <si>
    <t>Crear mockup login</t>
  </si>
  <si>
    <t>Diseñar pantalla con campos usuario y contraseña</t>
  </si>
  <si>
    <t>Frontend</t>
  </si>
  <si>
    <t>Sprint 2</t>
  </si>
  <si>
    <t>TA-02</t>
  </si>
  <si>
    <t>Crear UI login</t>
  </si>
  <si>
    <t>TA-03</t>
  </si>
  <si>
    <t>Validar campos obligatorios</t>
  </si>
  <si>
    <t>Validar que inputs no estén vacíos</t>
  </si>
  <si>
    <t>TA-04</t>
  </si>
  <si>
    <t>Enviar credenciales al backend</t>
  </si>
  <si>
    <r>
      <rPr>
        <rFont val="Calibri"/>
        <color theme="1"/>
        <sz val="11.0"/>
      </rPr>
      <t xml:space="preserve">Consumir API </t>
    </r>
    <r>
      <rPr>
        <rFont val="Arial Unicode MS"/>
        <color theme="1"/>
        <sz val="10.0"/>
      </rPr>
      <t>/login</t>
    </r>
  </si>
  <si>
    <t>TA-05</t>
  </si>
  <si>
    <t>Crear endpoint login</t>
  </si>
  <si>
    <r>
      <rPr>
        <rFont val="Calibri"/>
        <color theme="1"/>
        <sz val="11.0"/>
      </rPr>
      <t xml:space="preserve">Implementar endpoint REST </t>
    </r>
    <r>
      <rPr>
        <rFont val="Arial Unicode MS"/>
        <color theme="1"/>
        <sz val="10.0"/>
      </rPr>
      <t>/login</t>
    </r>
  </si>
  <si>
    <t>Backend</t>
  </si>
  <si>
    <t>TA-06</t>
  </si>
  <si>
    <t>Buscar usuario en BD</t>
  </si>
  <si>
    <t>Consulta por username</t>
  </si>
  <si>
    <t>TA-07</t>
  </si>
  <si>
    <t>Implementar hash (bcrypt)</t>
  </si>
  <si>
    <t>Encriptar y comparar contraseñas</t>
  </si>
  <si>
    <t>TA-08</t>
  </si>
  <si>
    <t>Validar credenciales</t>
  </si>
  <si>
    <t>Lógica de autenticación</t>
  </si>
  <si>
    <t>TA-09</t>
  </si>
  <si>
    <t>Retornar respuesta login</t>
  </si>
  <si>
    <t>Enviar éxito/error + datos usuario</t>
  </si>
  <si>
    <t>TA-10</t>
  </si>
  <si>
    <t>Definir errores backend</t>
  </si>
  <si>
    <t>Respuestas HTTP (401, 400)</t>
  </si>
  <si>
    <t>TA-11</t>
  </si>
  <si>
    <t>Manejar error usuario inexistente</t>
  </si>
  <si>
    <t>Validación específica</t>
  </si>
  <si>
    <t>TA-12</t>
  </si>
  <si>
    <t>Manejar error contraseña incorrecta</t>
  </si>
  <si>
    <t>TA-13</t>
  </si>
  <si>
    <t>Mostrar errores en UI</t>
  </si>
  <si>
    <t>Mensajes claros al usuario</t>
  </si>
  <si>
    <t>TA-14</t>
  </si>
  <si>
    <t>Ocultar info sensible</t>
  </si>
  <si>
    <t>No exponer detalles del sistema</t>
  </si>
  <si>
    <t>TA-15</t>
  </si>
  <si>
    <t>Generar JWT</t>
  </si>
  <si>
    <t>Crear token de autenticación</t>
  </si>
  <si>
    <t>TA-16</t>
  </si>
  <si>
    <t>Incluir datos en token</t>
  </si>
  <si>
    <t>ID usuario + rol</t>
  </si>
  <si>
    <t>TA-17</t>
  </si>
  <si>
    <t>Guardar token en app</t>
  </si>
  <si>
    <t>Usar SharedPreferences</t>
  </si>
  <si>
    <t>TA-18</t>
  </si>
  <si>
    <t>Validar token (middleware)</t>
  </si>
  <si>
    <t>Verificar en cada request</t>
  </si>
  <si>
    <t>TA-19</t>
  </si>
  <si>
    <t>Implementar logout</t>
  </si>
  <si>
    <t>Eliminar token / sesión</t>
  </si>
  <si>
    <t>TA-20</t>
  </si>
  <si>
    <t>Definir roles en BD</t>
  </si>
  <si>
    <t>Guardia, Supervisor, Admin</t>
  </si>
  <si>
    <t>TA-21</t>
  </si>
  <si>
    <t>Asociar rol a usuario</t>
  </si>
  <si>
    <t>Relación en base de datos</t>
  </si>
  <si>
    <t>TA-22</t>
  </si>
  <si>
    <t>Validar rol en backend</t>
  </si>
  <si>
    <t>Middleware de autorización(?)</t>
  </si>
  <si>
    <t>TA-23</t>
  </si>
  <si>
    <t>Restringir endpoints</t>
  </si>
  <si>
    <t>Acceso según rol</t>
  </si>
  <si>
    <t>TA-24</t>
  </si>
  <si>
    <t>Proteger vistas frontend</t>
  </si>
  <si>
    <t>Ocultar accesos no permitidos</t>
  </si>
  <si>
    <t>TA-25</t>
  </si>
  <si>
    <t>Crear vista guardia</t>
  </si>
  <si>
    <t>Pantalla de rondas</t>
  </si>
  <si>
    <t>TA-26</t>
  </si>
  <si>
    <t>Crear vista supervisor</t>
  </si>
  <si>
    <t>Pantalla monitoreo</t>
  </si>
  <si>
    <t>TA-27</t>
  </si>
  <si>
    <t>Crear vista admin</t>
  </si>
  <si>
    <t>Dashboard completo</t>
  </si>
  <si>
    <t>TA-28</t>
  </si>
  <si>
    <t>Implementar redirección</t>
  </si>
  <si>
    <t>Navegar según rol</t>
  </si>
  <si>
    <t>TA-29</t>
  </si>
  <si>
    <t>Validar acceso directo</t>
  </si>
  <si>
    <t>Bloquear rutas sin login</t>
  </si>
  <si>
    <t>TA-30</t>
  </si>
  <si>
    <t>Prueba login exitoso</t>
  </si>
  <si>
    <t>Validar acceso correcto</t>
  </si>
  <si>
    <t>QA</t>
  </si>
  <si>
    <t>TA-31</t>
  </si>
  <si>
    <t>Prueba usuario inexistente</t>
  </si>
  <si>
    <t>Validar error</t>
  </si>
  <si>
    <t>TA-32</t>
  </si>
  <si>
    <t>Prueba contraseña incorrecta</t>
  </si>
  <si>
    <t>TA-33</t>
  </si>
  <si>
    <t>Prueba control por rol</t>
  </si>
  <si>
    <t>Validar permisos</t>
  </si>
  <si>
    <t>TA-34</t>
  </si>
  <si>
    <t>Prueba sesión/token</t>
  </si>
  <si>
    <t>Validar persistencia</t>
  </si>
  <si>
    <t>TA-35</t>
  </si>
  <si>
    <t>Documentar endpoint login</t>
  </si>
  <si>
    <t>Request/response</t>
  </si>
  <si>
    <t>Documentación</t>
  </si>
  <si>
    <t>TA-36</t>
  </si>
  <si>
    <t>Documentar flujo login</t>
  </si>
  <si>
    <t>Diagrama + explicación</t>
  </si>
  <si>
    <t>TA-37</t>
  </si>
  <si>
    <t>Documentar pruebas</t>
  </si>
  <si>
    <t>Evidencia QA</t>
  </si>
  <si>
    <t>Tipo de diagrama</t>
  </si>
  <si>
    <t>Diagrama</t>
  </si>
  <si>
    <t>Diagrama de casos de uso</t>
  </si>
  <si>
    <t>#VALUE!</t>
  </si>
  <si>
    <t>Modelo entidad-relación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</si>
</sst>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rgb="FF434343"/>
      <name val="Arial"/>
    </font>
    <font>
      <sz val="11.0"/>
      <color rgb="FFFFFFFF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top style="medium">
        <color rgb="FFE8EAED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0" fontId="2" numFmtId="0" xfId="0" applyBorder="1" applyFont="1"/>
    <xf borderId="0" fillId="0" fontId="3" numFmtId="0" xfId="0" applyFont="1"/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2" fontId="3" numFmtId="0" xfId="0" applyAlignment="1" applyFill="1" applyFont="1">
      <alignment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HU-style">
      <tableStyleElement dxfId="1" type="headerRow"/>
      <tableStyleElement dxfId="2" type="firstRowStripe"/>
      <tableStyleElement dxfId="2" type="secondRowStripe"/>
    </tableStyle>
    <tableStyle count="3" pivot="0" name="RF-style">
      <tableStyleElement dxfId="1" type="headerRow"/>
      <tableStyleElement dxfId="2" type="firstRowStripe"/>
      <tableStyleElement dxfId="2" type="secondRowStripe"/>
    </tableStyle>
    <tableStyle count="3" pivot="0" name="TA - SP2-style">
      <tableStyleElement dxfId="1" type="headerRow"/>
      <tableStyleElement dxfId="2" type="firstRowStripe"/>
      <tableStyleElement dxfId="2" type="secondRowStripe"/>
    </tableStyle>
    <tableStyle count="3" pivot="0" name="Diagrama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5" displayName="Table_1" name="Table_1" id="1">
  <tableColumns count="7">
    <tableColumn name="ID" id="1"/>
    <tableColumn name="Épica" id="2"/>
    <tableColumn name="Actor" id="3"/>
    <tableColumn name="Descripción breve" id="4"/>
    <tableColumn name="Historia de Usuario" id="5"/>
    <tableColumn name="Criterios de Aceptación" id="6"/>
    <tableColumn name="Prioridad" id="7"/>
  </tableColumns>
  <tableStyleInfo name="HU-style" showColumnStripes="0" showFirstColumn="1" showLastColumn="1" showRowStripes="1"/>
</table>
</file>

<file path=xl/tables/table2.xml><?xml version="1.0" encoding="utf-8"?>
<table xmlns="http://schemas.openxmlformats.org/spreadsheetml/2006/main" ref="A1:G45" displayName="Table_2" name="Table_2" id="2">
  <tableColumns count="7">
    <tableColumn name="ID" id="1"/>
    <tableColumn name="Módulo" id="2"/>
    <tableColumn name="Requisito" id="3"/>
    <tableColumn name="Detalle" id="4"/>
    <tableColumn name="HU Relacionado" id="5"/>
    <tableColumn name="Criterios de aceptación" id="6"/>
    <tableColumn name="Sprint" id="7"/>
  </tableColumns>
  <tableStyleInfo name="RF-style" showColumnStripes="0" showFirstColumn="1" showLastColumn="1" showRowStripes="1"/>
</table>
</file>

<file path=xl/tables/table3.xml><?xml version="1.0" encoding="utf-8"?>
<table xmlns="http://schemas.openxmlformats.org/spreadsheetml/2006/main" ref="A1:H38" displayName="Table_3" name="Table_3" id="3">
  <tableColumns count="8">
    <tableColumn name="Código" id="1"/>
    <tableColumn name="Tarea" id="2"/>
    <tableColumn name="Descripción" id="3"/>
    <tableColumn name="Tipo" id="4"/>
    <tableColumn name="Requisito Funcional" id="5"/>
    <tableColumn name="Sprint" id="6"/>
    <tableColumn name="Nombre Trello" id="7"/>
    <tableColumn name="Columna1" id="8"/>
  </tableColumns>
  <tableStyleInfo name="TA - SP2-style" showColumnStripes="0" showFirstColumn="1" showLastColumn="1" showRowStripes="1"/>
</table>
</file>

<file path=xl/tables/table4.xml><?xml version="1.0" encoding="utf-8"?>
<table xmlns="http://schemas.openxmlformats.org/spreadsheetml/2006/main" ref="A1:B3" displayName="Table_4" name="Table_4" id="4">
  <tableColumns count="2">
    <tableColumn name="Tipo de diagrama" id="1"/>
    <tableColumn name="Diagrama" id="2"/>
  </tableColumns>
  <tableStyleInfo name="Diagram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0.29"/>
    <col customWidth="1" min="3" max="3" width="16.86"/>
    <col customWidth="1" min="4" max="4" width="31.29"/>
    <col customWidth="1" min="5" max="5" width="195.71"/>
    <col customWidth="1" min="6" max="6" width="94.57"/>
    <col customWidth="1" min="7" max="7" width="12.43"/>
    <col customWidth="1" min="8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4"/>
      <c r="Y1" s="4"/>
      <c r="Z1" s="4"/>
    </row>
    <row r="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4"/>
      <c r="V2" s="4"/>
      <c r="W2" s="4"/>
      <c r="X2" s="4"/>
      <c r="Y2" s="4"/>
      <c r="Z2" s="4"/>
    </row>
    <row r="3">
      <c r="A3" s="5" t="s">
        <v>14</v>
      </c>
      <c r="B3" s="5" t="s">
        <v>8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4"/>
      <c r="V3" s="4"/>
      <c r="W3" s="4"/>
      <c r="X3" s="4"/>
      <c r="Y3" s="4"/>
      <c r="Z3" s="4"/>
    </row>
    <row r="4">
      <c r="A4" s="5" t="s">
        <v>19</v>
      </c>
      <c r="B4" s="5" t="s">
        <v>8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4"/>
      <c r="V4" s="4"/>
      <c r="W4" s="4"/>
      <c r="X4" s="4"/>
      <c r="Y4" s="4"/>
      <c r="Z4" s="4"/>
    </row>
    <row r="5">
      <c r="A5" s="5" t="s">
        <v>24</v>
      </c>
      <c r="B5" s="5" t="s">
        <v>25</v>
      </c>
      <c r="C5" s="5" t="s">
        <v>20</v>
      </c>
      <c r="D5" s="5" t="s">
        <v>26</v>
      </c>
      <c r="E5" s="5" t="s">
        <v>27</v>
      </c>
      <c r="F5" s="5" t="s">
        <v>28</v>
      </c>
      <c r="G5" s="5" t="s">
        <v>29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4"/>
      <c r="V5" s="4"/>
      <c r="W5" s="4"/>
      <c r="X5" s="4"/>
      <c r="Y5" s="4"/>
      <c r="Z5" s="4"/>
    </row>
    <row r="6">
      <c r="A6" s="5" t="s">
        <v>30</v>
      </c>
      <c r="B6" s="5" t="s">
        <v>25</v>
      </c>
      <c r="C6" s="5" t="s">
        <v>20</v>
      </c>
      <c r="D6" s="5" t="s">
        <v>31</v>
      </c>
      <c r="E6" s="5" t="s">
        <v>32</v>
      </c>
      <c r="F6" s="5" t="s">
        <v>33</v>
      </c>
      <c r="G6" s="5" t="s">
        <v>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/>
      <c r="V6" s="4"/>
      <c r="W6" s="4"/>
      <c r="X6" s="4"/>
      <c r="Y6" s="4"/>
      <c r="Z6" s="4"/>
    </row>
    <row r="7">
      <c r="A7" s="5" t="s">
        <v>35</v>
      </c>
      <c r="B7" s="5" t="s">
        <v>25</v>
      </c>
      <c r="C7" s="5" t="s">
        <v>15</v>
      </c>
      <c r="D7" s="5" t="s">
        <v>36</v>
      </c>
      <c r="E7" s="5" t="s">
        <v>37</v>
      </c>
      <c r="F7" s="5" t="s">
        <v>38</v>
      </c>
      <c r="G7" s="5" t="s">
        <v>29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"/>
      <c r="V7" s="4"/>
      <c r="W7" s="4"/>
      <c r="X7" s="4"/>
      <c r="Y7" s="4"/>
      <c r="Z7" s="4"/>
    </row>
    <row r="8">
      <c r="A8" s="5" t="s">
        <v>39</v>
      </c>
      <c r="B8" s="5" t="s">
        <v>25</v>
      </c>
      <c r="C8" s="5" t="s">
        <v>15</v>
      </c>
      <c r="D8" s="5" t="s">
        <v>40</v>
      </c>
      <c r="E8" s="5" t="s">
        <v>41</v>
      </c>
      <c r="F8" s="5" t="s">
        <v>42</v>
      </c>
      <c r="G8" s="5" t="s">
        <v>34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/>
      <c r="V8" s="4"/>
      <c r="W8" s="4"/>
      <c r="X8" s="4"/>
      <c r="Y8" s="4"/>
      <c r="Z8" s="4"/>
    </row>
    <row r="9">
      <c r="A9" s="5" t="s">
        <v>43</v>
      </c>
      <c r="B9" s="5" t="s">
        <v>44</v>
      </c>
      <c r="C9" s="5" t="s">
        <v>9</v>
      </c>
      <c r="D9" s="5" t="s">
        <v>45</v>
      </c>
      <c r="E9" s="5" t="s">
        <v>46</v>
      </c>
      <c r="F9" s="5" t="s">
        <v>47</v>
      </c>
      <c r="G9" s="5" t="s">
        <v>34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4"/>
      <c r="V9" s="4"/>
      <c r="W9" s="4"/>
      <c r="X9" s="4"/>
      <c r="Y9" s="4"/>
      <c r="Z9" s="4"/>
    </row>
    <row r="10">
      <c r="A10" s="5" t="s">
        <v>48</v>
      </c>
      <c r="B10" s="5" t="s">
        <v>44</v>
      </c>
      <c r="C10" s="5" t="s">
        <v>9</v>
      </c>
      <c r="D10" s="5" t="s">
        <v>49</v>
      </c>
      <c r="E10" s="5" t="s">
        <v>50</v>
      </c>
      <c r="F10" s="5" t="s">
        <v>51</v>
      </c>
      <c r="G10" s="5" t="s">
        <v>29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4"/>
      <c r="V10" s="4"/>
      <c r="W10" s="4"/>
      <c r="X10" s="4"/>
      <c r="Y10" s="4"/>
      <c r="Z10" s="4"/>
    </row>
    <row r="11">
      <c r="A11" s="5" t="s">
        <v>52</v>
      </c>
      <c r="B11" s="5" t="s">
        <v>44</v>
      </c>
      <c r="C11" s="5" t="s">
        <v>9</v>
      </c>
      <c r="D11" s="5" t="s">
        <v>53</v>
      </c>
      <c r="E11" s="5" t="s">
        <v>54</v>
      </c>
      <c r="F11" s="5" t="s">
        <v>55</v>
      </c>
      <c r="G11" s="5" t="s">
        <v>13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4"/>
      <c r="V11" s="4"/>
      <c r="W11" s="4"/>
      <c r="X11" s="4"/>
      <c r="Y11" s="4"/>
      <c r="Z11" s="4"/>
    </row>
    <row r="12">
      <c r="A12" s="5" t="s">
        <v>56</v>
      </c>
      <c r="B12" s="5" t="s">
        <v>44</v>
      </c>
      <c r="C12" s="5" t="s">
        <v>9</v>
      </c>
      <c r="D12" s="5" t="s">
        <v>57</v>
      </c>
      <c r="E12" s="5" t="s">
        <v>58</v>
      </c>
      <c r="F12" s="5" t="s">
        <v>59</v>
      </c>
      <c r="G12" s="5" t="s">
        <v>34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4"/>
      <c r="V12" s="4"/>
      <c r="W12" s="4"/>
      <c r="X12" s="4"/>
      <c r="Y12" s="4"/>
      <c r="Z12" s="4"/>
    </row>
    <row r="13">
      <c r="A13" s="5" t="s">
        <v>60</v>
      </c>
      <c r="B13" s="5" t="s">
        <v>61</v>
      </c>
      <c r="C13" s="5" t="s">
        <v>9</v>
      </c>
      <c r="D13" s="5" t="s">
        <v>62</v>
      </c>
      <c r="E13" s="5" t="s">
        <v>63</v>
      </c>
      <c r="F13" s="5" t="s">
        <v>64</v>
      </c>
      <c r="G13" s="5" t="s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4"/>
      <c r="V13" s="4"/>
      <c r="W13" s="4"/>
      <c r="X13" s="4"/>
      <c r="Y13" s="4"/>
      <c r="Z13" s="4"/>
    </row>
    <row r="14">
      <c r="A14" s="5" t="s">
        <v>65</v>
      </c>
      <c r="B14" s="5" t="s">
        <v>61</v>
      </c>
      <c r="C14" s="5" t="s">
        <v>15</v>
      </c>
      <c r="D14" s="5" t="s">
        <v>66</v>
      </c>
      <c r="E14" s="5" t="s">
        <v>67</v>
      </c>
      <c r="F14" s="5" t="s">
        <v>68</v>
      </c>
      <c r="G14" s="5" t="s">
        <v>29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4"/>
      <c r="V14" s="4"/>
      <c r="W14" s="4"/>
      <c r="X14" s="4"/>
      <c r="Y14" s="4"/>
      <c r="Z14" s="4"/>
    </row>
    <row r="15">
      <c r="A15" s="5" t="s">
        <v>69</v>
      </c>
      <c r="B15" s="5" t="s">
        <v>44</v>
      </c>
      <c r="C15" s="5" t="s">
        <v>9</v>
      </c>
      <c r="D15" s="5" t="s">
        <v>70</v>
      </c>
      <c r="E15" s="5" t="s">
        <v>71</v>
      </c>
      <c r="F15" s="5" t="s">
        <v>72</v>
      </c>
      <c r="G15" s="5" t="s">
        <v>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4"/>
      <c r="V15" s="4"/>
      <c r="W15" s="4"/>
      <c r="X15" s="4"/>
      <c r="Y15" s="4"/>
      <c r="Z15" s="4"/>
    </row>
    <row r="16">
      <c r="A16" s="5" t="s">
        <v>73</v>
      </c>
      <c r="B16" s="5" t="s">
        <v>74</v>
      </c>
      <c r="C16" s="5" t="s">
        <v>15</v>
      </c>
      <c r="D16" s="5" t="s">
        <v>75</v>
      </c>
      <c r="E16" s="5" t="s">
        <v>76</v>
      </c>
      <c r="F16" s="5" t="s">
        <v>77</v>
      </c>
      <c r="G16" s="5" t="s">
        <v>29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4"/>
      <c r="V16" s="4"/>
      <c r="W16" s="4"/>
      <c r="X16" s="4"/>
      <c r="Y16" s="4"/>
      <c r="Z16" s="4"/>
    </row>
    <row r="17">
      <c r="A17" s="5" t="s">
        <v>78</v>
      </c>
      <c r="B17" s="5" t="s">
        <v>74</v>
      </c>
      <c r="C17" s="5" t="s">
        <v>15</v>
      </c>
      <c r="D17" s="5" t="s">
        <v>79</v>
      </c>
      <c r="E17" s="5" t="s">
        <v>80</v>
      </c>
      <c r="F17" s="5" t="s">
        <v>81</v>
      </c>
      <c r="G17" s="5" t="s">
        <v>29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4"/>
      <c r="V17" s="4"/>
      <c r="W17" s="4"/>
      <c r="X17" s="4"/>
      <c r="Y17" s="4"/>
      <c r="Z17" s="4"/>
    </row>
    <row r="18">
      <c r="A18" s="5" t="s">
        <v>82</v>
      </c>
      <c r="B18" s="5" t="s">
        <v>83</v>
      </c>
      <c r="C18" s="5" t="s">
        <v>15</v>
      </c>
      <c r="D18" s="5" t="s">
        <v>84</v>
      </c>
      <c r="E18" s="5" t="s">
        <v>85</v>
      </c>
      <c r="F18" s="5" t="s">
        <v>86</v>
      </c>
      <c r="G18" s="5" t="s">
        <v>87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4"/>
      <c r="V18" s="4"/>
      <c r="W18" s="4"/>
      <c r="X18" s="4"/>
      <c r="Y18" s="4"/>
      <c r="Z18" s="4"/>
    </row>
    <row r="19">
      <c r="A19" s="5" t="s">
        <v>88</v>
      </c>
      <c r="B19" s="5" t="s">
        <v>89</v>
      </c>
      <c r="C19" s="5" t="s">
        <v>9</v>
      </c>
      <c r="D19" s="5" t="s">
        <v>90</v>
      </c>
      <c r="E19" s="5" t="s">
        <v>91</v>
      </c>
      <c r="F19" s="5" t="s">
        <v>92</v>
      </c>
      <c r="G19" s="5" t="s">
        <v>29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4"/>
      <c r="V19" s="4"/>
      <c r="W19" s="4"/>
      <c r="X19" s="4"/>
      <c r="Y19" s="4"/>
      <c r="Z19" s="4"/>
    </row>
    <row r="20">
      <c r="A20" s="5" t="s">
        <v>93</v>
      </c>
      <c r="B20" s="5" t="s">
        <v>89</v>
      </c>
      <c r="C20" s="5" t="s">
        <v>9</v>
      </c>
      <c r="D20" s="5" t="s">
        <v>94</v>
      </c>
      <c r="E20" s="5" t="s">
        <v>95</v>
      </c>
      <c r="F20" s="5" t="s">
        <v>96</v>
      </c>
      <c r="G20" s="5" t="s">
        <v>34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4"/>
      <c r="V20" s="4"/>
      <c r="W20" s="4"/>
      <c r="X20" s="4"/>
      <c r="Y20" s="4"/>
      <c r="Z20" s="4"/>
    </row>
    <row r="21" ht="15.75" customHeight="1">
      <c r="A21" s="5" t="s">
        <v>97</v>
      </c>
      <c r="B21" s="5" t="s">
        <v>98</v>
      </c>
      <c r="C21" s="5" t="s">
        <v>15</v>
      </c>
      <c r="D21" s="5" t="s">
        <v>99</v>
      </c>
      <c r="E21" s="5" t="s">
        <v>100</v>
      </c>
      <c r="F21" s="5" t="s">
        <v>101</v>
      </c>
      <c r="G21" s="5" t="s">
        <v>102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4"/>
      <c r="V21" s="4"/>
      <c r="W21" s="4"/>
      <c r="X21" s="4"/>
      <c r="Y21" s="4"/>
      <c r="Z21" s="4"/>
    </row>
    <row r="22" ht="15.75" customHeight="1">
      <c r="A22" s="5" t="s">
        <v>103</v>
      </c>
      <c r="B22" s="5" t="s">
        <v>98</v>
      </c>
      <c r="C22" s="5" t="s">
        <v>15</v>
      </c>
      <c r="D22" s="5" t="s">
        <v>104</v>
      </c>
      <c r="E22" s="5" t="s">
        <v>105</v>
      </c>
      <c r="F22" s="5" t="s">
        <v>106</v>
      </c>
      <c r="G22" s="5" t="s">
        <v>102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"/>
      <c r="V22" s="4"/>
      <c r="W22" s="4"/>
      <c r="X22" s="4"/>
      <c r="Y22" s="4"/>
      <c r="Z22" s="4"/>
    </row>
    <row r="23" ht="15.75" customHeight="1">
      <c r="A23" s="5" t="s">
        <v>107</v>
      </c>
      <c r="B23" s="5" t="s">
        <v>98</v>
      </c>
      <c r="C23" s="5" t="s">
        <v>15</v>
      </c>
      <c r="D23" s="5" t="s">
        <v>108</v>
      </c>
      <c r="E23" s="5" t="s">
        <v>109</v>
      </c>
      <c r="F23" s="5" t="s">
        <v>110</v>
      </c>
      <c r="G23" s="5" t="s">
        <v>87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"/>
      <c r="V23" s="4"/>
      <c r="W23" s="4"/>
      <c r="X23" s="4"/>
      <c r="Y23" s="4"/>
      <c r="Z23" s="4"/>
    </row>
    <row r="24" ht="15.75" customHeight="1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115</v>
      </c>
      <c r="F24" s="5" t="s">
        <v>116</v>
      </c>
      <c r="G24" s="5" t="s">
        <v>87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4"/>
      <c r="V24" s="4"/>
      <c r="W24" s="4"/>
      <c r="X24" s="4"/>
      <c r="Y24" s="4"/>
      <c r="Z24" s="4"/>
    </row>
    <row r="25" ht="15.75" customHeight="1">
      <c r="A25" s="5" t="s">
        <v>117</v>
      </c>
      <c r="B25" s="5" t="s">
        <v>112</v>
      </c>
      <c r="C25" s="5" t="s">
        <v>15</v>
      </c>
      <c r="D25" s="5" t="s">
        <v>118</v>
      </c>
      <c r="E25" s="5" t="s">
        <v>119</v>
      </c>
      <c r="F25" s="5" t="s">
        <v>120</v>
      </c>
      <c r="G25" s="5" t="s">
        <v>29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4"/>
      <c r="V25" s="4"/>
      <c r="W25" s="4"/>
      <c r="X25" s="4"/>
      <c r="Y25" s="4"/>
      <c r="Z25" s="4"/>
    </row>
    <row r="26" ht="15.75" customHeight="1">
      <c r="A26" s="6"/>
      <c r="B26" s="6"/>
      <c r="C26" s="6"/>
      <c r="D26" s="6"/>
      <c r="E26" s="6"/>
      <c r="F26" s="6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4"/>
      <c r="V26" s="4"/>
      <c r="W26" s="4"/>
      <c r="X26" s="4"/>
      <c r="Y26" s="4"/>
      <c r="Z26" s="4"/>
    </row>
    <row r="27" ht="15.75" customHeight="1">
      <c r="A27" s="6"/>
      <c r="B27" s="6"/>
      <c r="C27" s="6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4"/>
      <c r="V27" s="4"/>
      <c r="W27" s="4"/>
      <c r="X27" s="4"/>
      <c r="Y27" s="4"/>
      <c r="Z27" s="4"/>
    </row>
    <row r="28" ht="15.75" customHeight="1">
      <c r="A28" s="6"/>
      <c r="B28" s="6"/>
      <c r="C28" s="6"/>
      <c r="D28" s="6"/>
      <c r="E28" s="6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4"/>
      <c r="V28" s="4"/>
      <c r="W28" s="4"/>
      <c r="X28" s="4"/>
      <c r="Y28" s="4"/>
      <c r="Z28" s="4"/>
    </row>
    <row r="29" ht="15.75" customHeight="1">
      <c r="A29" s="6"/>
      <c r="B29" s="6"/>
      <c r="C29" s="6"/>
      <c r="D29" s="6"/>
      <c r="E29" s="6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3.29"/>
    <col customWidth="1" min="3" max="3" width="33.0"/>
    <col customWidth="1" min="4" max="4" width="76.86"/>
    <col customWidth="1" min="5" max="5" width="19.0"/>
    <col customWidth="1" min="6" max="6" width="71.29"/>
    <col customWidth="1" min="7" max="7" width="8.57"/>
    <col customWidth="1" min="8" max="26" width="10.71"/>
  </cols>
  <sheetData>
    <row r="1">
      <c r="A1" s="8" t="s">
        <v>0</v>
      </c>
      <c r="B1" s="8" t="s">
        <v>121</v>
      </c>
      <c r="C1" s="8" t="s">
        <v>122</v>
      </c>
      <c r="D1" s="8" t="s">
        <v>123</v>
      </c>
      <c r="E1" s="8" t="s">
        <v>124</v>
      </c>
      <c r="F1" s="8" t="s">
        <v>125</v>
      </c>
      <c r="G1" s="8" t="s">
        <v>126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127</v>
      </c>
      <c r="B2" s="10" t="s">
        <v>128</v>
      </c>
      <c r="C2" s="10" t="s">
        <v>129</v>
      </c>
      <c r="D2" s="10" t="s">
        <v>130</v>
      </c>
      <c r="E2" s="10" t="s">
        <v>131</v>
      </c>
      <c r="F2" s="10" t="s">
        <v>132</v>
      </c>
      <c r="G2" s="10">
        <v>2.0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127</v>
      </c>
      <c r="B3" s="10" t="s">
        <v>128</v>
      </c>
      <c r="C3" s="10" t="s">
        <v>129</v>
      </c>
      <c r="D3" s="10" t="s">
        <v>130</v>
      </c>
      <c r="E3" s="10" t="s">
        <v>131</v>
      </c>
      <c r="F3" s="10" t="s">
        <v>133</v>
      </c>
      <c r="G3" s="10">
        <v>2.0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127</v>
      </c>
      <c r="B4" s="10" t="s">
        <v>128</v>
      </c>
      <c r="C4" s="10" t="s">
        <v>129</v>
      </c>
      <c r="D4" s="10" t="s">
        <v>130</v>
      </c>
      <c r="E4" s="10" t="s">
        <v>131</v>
      </c>
      <c r="F4" s="10" t="s">
        <v>134</v>
      </c>
      <c r="G4" s="10">
        <v>2.0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135</v>
      </c>
      <c r="B5" s="10" t="s">
        <v>128</v>
      </c>
      <c r="C5" s="10" t="s">
        <v>136</v>
      </c>
      <c r="D5" s="10" t="s">
        <v>137</v>
      </c>
      <c r="E5" s="10" t="s">
        <v>131</v>
      </c>
      <c r="F5" s="10" t="s">
        <v>138</v>
      </c>
      <c r="G5" s="10">
        <v>2.0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135</v>
      </c>
      <c r="B6" s="10" t="s">
        <v>128</v>
      </c>
      <c r="C6" s="10" t="s">
        <v>136</v>
      </c>
      <c r="D6" s="10" t="s">
        <v>137</v>
      </c>
      <c r="E6" s="10" t="s">
        <v>131</v>
      </c>
      <c r="F6" s="10" t="s">
        <v>139</v>
      </c>
      <c r="G6" s="10">
        <v>2.0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135</v>
      </c>
      <c r="B7" s="10" t="s">
        <v>128</v>
      </c>
      <c r="C7" s="10" t="s">
        <v>136</v>
      </c>
      <c r="D7" s="10" t="s">
        <v>137</v>
      </c>
      <c r="E7" s="10" t="s">
        <v>131</v>
      </c>
      <c r="F7" s="10" t="s">
        <v>140</v>
      </c>
      <c r="G7" s="10">
        <v>2.0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141</v>
      </c>
      <c r="B8" s="10" t="s">
        <v>128</v>
      </c>
      <c r="C8" s="10" t="s">
        <v>142</v>
      </c>
      <c r="D8" s="10" t="s">
        <v>143</v>
      </c>
      <c r="E8" s="10" t="s">
        <v>131</v>
      </c>
      <c r="F8" s="10" t="s">
        <v>144</v>
      </c>
      <c r="G8" s="10">
        <v>2.0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141</v>
      </c>
      <c r="B9" s="10" t="s">
        <v>128</v>
      </c>
      <c r="C9" s="10" t="s">
        <v>142</v>
      </c>
      <c r="D9" s="10" t="s">
        <v>143</v>
      </c>
      <c r="E9" s="10" t="s">
        <v>131</v>
      </c>
      <c r="F9" s="10" t="s">
        <v>145</v>
      </c>
      <c r="G9" s="10">
        <v>2.0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141</v>
      </c>
      <c r="B10" s="10" t="s">
        <v>128</v>
      </c>
      <c r="C10" s="10" t="s">
        <v>142</v>
      </c>
      <c r="D10" s="10" t="s">
        <v>143</v>
      </c>
      <c r="E10" s="10" t="s">
        <v>131</v>
      </c>
      <c r="F10" s="10" t="s">
        <v>146</v>
      </c>
      <c r="G10" s="10">
        <v>2.0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147</v>
      </c>
      <c r="B11" s="10" t="s">
        <v>128</v>
      </c>
      <c r="C11" s="10" t="s">
        <v>148</v>
      </c>
      <c r="D11" s="10" t="s">
        <v>149</v>
      </c>
      <c r="E11" s="10" t="s">
        <v>131</v>
      </c>
      <c r="F11" s="10" t="s">
        <v>150</v>
      </c>
      <c r="G11" s="10">
        <v>2.0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147</v>
      </c>
      <c r="B12" s="10" t="s">
        <v>128</v>
      </c>
      <c r="C12" s="10" t="s">
        <v>148</v>
      </c>
      <c r="D12" s="10" t="s">
        <v>149</v>
      </c>
      <c r="E12" s="10" t="s">
        <v>131</v>
      </c>
      <c r="F12" s="10" t="s">
        <v>151</v>
      </c>
      <c r="G12" s="10">
        <v>2.0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147</v>
      </c>
      <c r="B13" s="10" t="s">
        <v>128</v>
      </c>
      <c r="C13" s="10" t="s">
        <v>148</v>
      </c>
      <c r="D13" s="10" t="s">
        <v>149</v>
      </c>
      <c r="E13" s="10" t="s">
        <v>131</v>
      </c>
      <c r="F13" s="10" t="s">
        <v>152</v>
      </c>
      <c r="G13" s="10">
        <v>2.0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153</v>
      </c>
      <c r="B14" s="10" t="s">
        <v>128</v>
      </c>
      <c r="C14" s="10" t="s">
        <v>154</v>
      </c>
      <c r="D14" s="10" t="s">
        <v>155</v>
      </c>
      <c r="E14" s="10" t="s">
        <v>156</v>
      </c>
      <c r="F14" s="10" t="s">
        <v>157</v>
      </c>
      <c r="G14" s="10">
        <v>2.0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153</v>
      </c>
      <c r="B15" s="10" t="s">
        <v>128</v>
      </c>
      <c r="C15" s="10" t="s">
        <v>154</v>
      </c>
      <c r="D15" s="10" t="s">
        <v>155</v>
      </c>
      <c r="E15" s="10" t="s">
        <v>156</v>
      </c>
      <c r="F15" s="10" t="s">
        <v>158</v>
      </c>
      <c r="G15" s="10">
        <v>2.0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153</v>
      </c>
      <c r="B16" s="10" t="s">
        <v>128</v>
      </c>
      <c r="C16" s="10" t="s">
        <v>154</v>
      </c>
      <c r="D16" s="10" t="s">
        <v>155</v>
      </c>
      <c r="E16" s="10" t="s">
        <v>156</v>
      </c>
      <c r="F16" s="10" t="s">
        <v>159</v>
      </c>
      <c r="G16" s="10">
        <v>2.0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160</v>
      </c>
      <c r="B17" s="10" t="s">
        <v>128</v>
      </c>
      <c r="C17" s="10" t="s">
        <v>161</v>
      </c>
      <c r="D17" s="10" t="s">
        <v>162</v>
      </c>
      <c r="E17" s="10" t="s">
        <v>163</v>
      </c>
      <c r="F17" s="10" t="s">
        <v>164</v>
      </c>
      <c r="G17" s="10">
        <v>2.0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160</v>
      </c>
      <c r="B18" s="10" t="s">
        <v>128</v>
      </c>
      <c r="C18" s="10" t="s">
        <v>161</v>
      </c>
      <c r="D18" s="10" t="s">
        <v>162</v>
      </c>
      <c r="E18" s="10" t="s">
        <v>163</v>
      </c>
      <c r="F18" s="10" t="s">
        <v>165</v>
      </c>
      <c r="G18" s="10">
        <v>2.0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160</v>
      </c>
      <c r="B19" s="10" t="s">
        <v>128</v>
      </c>
      <c r="C19" s="10" t="s">
        <v>161</v>
      </c>
      <c r="D19" s="10" t="s">
        <v>162</v>
      </c>
      <c r="E19" s="10" t="s">
        <v>163</v>
      </c>
      <c r="F19" s="10" t="s">
        <v>166</v>
      </c>
      <c r="G19" s="10">
        <v>2.0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167</v>
      </c>
      <c r="B20" s="10" t="s">
        <v>168</v>
      </c>
      <c r="C20" s="10" t="s">
        <v>169</v>
      </c>
      <c r="D20" s="10" t="s">
        <v>170</v>
      </c>
      <c r="E20" s="10" t="s">
        <v>48</v>
      </c>
      <c r="F20" s="10" t="s">
        <v>171</v>
      </c>
      <c r="G20" s="10">
        <v>3.0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0" t="s">
        <v>167</v>
      </c>
      <c r="B21" s="10" t="s">
        <v>168</v>
      </c>
      <c r="C21" s="10" t="s">
        <v>169</v>
      </c>
      <c r="D21" s="10" t="s">
        <v>170</v>
      </c>
      <c r="E21" s="10" t="s">
        <v>48</v>
      </c>
      <c r="F21" s="10" t="s">
        <v>172</v>
      </c>
      <c r="G21" s="10">
        <v>3.0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0" t="s">
        <v>173</v>
      </c>
      <c r="B22" s="10" t="s">
        <v>168</v>
      </c>
      <c r="C22" s="10" t="s">
        <v>174</v>
      </c>
      <c r="D22" s="10" t="s">
        <v>175</v>
      </c>
      <c r="E22" s="10" t="s">
        <v>52</v>
      </c>
      <c r="F22" s="10" t="s">
        <v>176</v>
      </c>
      <c r="G22" s="10">
        <v>3.0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 t="s">
        <v>173</v>
      </c>
      <c r="B23" s="10" t="s">
        <v>168</v>
      </c>
      <c r="C23" s="10" t="s">
        <v>174</v>
      </c>
      <c r="D23" s="10" t="s">
        <v>175</v>
      </c>
      <c r="E23" s="10" t="s">
        <v>52</v>
      </c>
      <c r="F23" s="10" t="s">
        <v>177</v>
      </c>
      <c r="G23" s="10">
        <v>3.0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 t="s">
        <v>178</v>
      </c>
      <c r="B24" s="10" t="s">
        <v>168</v>
      </c>
      <c r="C24" s="10" t="s">
        <v>179</v>
      </c>
      <c r="D24" s="10" t="s">
        <v>180</v>
      </c>
      <c r="E24" s="10" t="s">
        <v>69</v>
      </c>
      <c r="F24" s="10" t="s">
        <v>181</v>
      </c>
      <c r="G24" s="10">
        <v>3.0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 t="s">
        <v>178</v>
      </c>
      <c r="B25" s="10" t="s">
        <v>168</v>
      </c>
      <c r="C25" s="10" t="s">
        <v>179</v>
      </c>
      <c r="D25" s="10" t="s">
        <v>180</v>
      </c>
      <c r="E25" s="10" t="s">
        <v>69</v>
      </c>
      <c r="F25" s="10" t="s">
        <v>182</v>
      </c>
      <c r="G25" s="10">
        <v>3.0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0" t="s">
        <v>178</v>
      </c>
      <c r="B26" s="10" t="s">
        <v>168</v>
      </c>
      <c r="C26" s="10" t="s">
        <v>179</v>
      </c>
      <c r="D26" s="10" t="s">
        <v>180</v>
      </c>
      <c r="E26" s="10" t="s">
        <v>69</v>
      </c>
      <c r="F26" s="10" t="s">
        <v>183</v>
      </c>
      <c r="G26" s="10">
        <v>3.0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 t="s">
        <v>184</v>
      </c>
      <c r="B27" s="10" t="s">
        <v>168</v>
      </c>
      <c r="C27" s="10" t="s">
        <v>185</v>
      </c>
      <c r="D27" s="10" t="s">
        <v>186</v>
      </c>
      <c r="E27" s="10" t="s">
        <v>56</v>
      </c>
      <c r="F27" s="10" t="s">
        <v>187</v>
      </c>
      <c r="G27" s="10">
        <v>3.0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 t="s">
        <v>184</v>
      </c>
      <c r="B28" s="10" t="s">
        <v>168</v>
      </c>
      <c r="C28" s="10" t="s">
        <v>185</v>
      </c>
      <c r="D28" s="10" t="s">
        <v>186</v>
      </c>
      <c r="E28" s="10" t="s">
        <v>56</v>
      </c>
      <c r="F28" s="10" t="s">
        <v>188</v>
      </c>
      <c r="G28" s="10">
        <v>3.0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0" t="s">
        <v>189</v>
      </c>
      <c r="B29" s="10" t="s">
        <v>190</v>
      </c>
      <c r="C29" s="10" t="s">
        <v>191</v>
      </c>
      <c r="D29" s="10" t="s">
        <v>192</v>
      </c>
      <c r="E29" s="10" t="s">
        <v>60</v>
      </c>
      <c r="F29" s="10" t="s">
        <v>193</v>
      </c>
      <c r="G29" s="10">
        <v>4.0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0" t="s">
        <v>189</v>
      </c>
      <c r="B30" s="10" t="s">
        <v>190</v>
      </c>
      <c r="C30" s="10" t="s">
        <v>191</v>
      </c>
      <c r="D30" s="10" t="s">
        <v>192</v>
      </c>
      <c r="E30" s="10" t="s">
        <v>60</v>
      </c>
      <c r="F30" s="10" t="s">
        <v>194</v>
      </c>
      <c r="G30" s="10">
        <v>4.0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0" t="s">
        <v>195</v>
      </c>
      <c r="B31" s="10" t="s">
        <v>190</v>
      </c>
      <c r="C31" s="10" t="s">
        <v>196</v>
      </c>
      <c r="D31" s="10" t="s">
        <v>197</v>
      </c>
      <c r="E31" s="10" t="s">
        <v>65</v>
      </c>
      <c r="F31" s="10" t="s">
        <v>198</v>
      </c>
      <c r="G31" s="10">
        <v>4.0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0" t="s">
        <v>195</v>
      </c>
      <c r="B32" s="10" t="s">
        <v>190</v>
      </c>
      <c r="C32" s="10" t="s">
        <v>196</v>
      </c>
      <c r="D32" s="10" t="s">
        <v>197</v>
      </c>
      <c r="E32" s="10" t="s">
        <v>65</v>
      </c>
      <c r="F32" s="10" t="s">
        <v>199</v>
      </c>
      <c r="G32" s="10">
        <v>4.0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0" t="s">
        <v>200</v>
      </c>
      <c r="B33" s="10" t="s">
        <v>201</v>
      </c>
      <c r="C33" s="10" t="s">
        <v>75</v>
      </c>
      <c r="D33" s="10" t="s">
        <v>202</v>
      </c>
      <c r="E33" s="10" t="s">
        <v>73</v>
      </c>
      <c r="F33" s="10" t="s">
        <v>203</v>
      </c>
      <c r="G33" s="10">
        <v>5.0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0" t="s">
        <v>204</v>
      </c>
      <c r="B34" s="10" t="s">
        <v>201</v>
      </c>
      <c r="C34" s="10" t="s">
        <v>79</v>
      </c>
      <c r="D34" s="10" t="s">
        <v>205</v>
      </c>
      <c r="E34" s="10" t="s">
        <v>78</v>
      </c>
      <c r="F34" s="10" t="s">
        <v>206</v>
      </c>
      <c r="G34" s="10">
        <v>5.0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0" t="s">
        <v>207</v>
      </c>
      <c r="B35" s="10" t="s">
        <v>208</v>
      </c>
      <c r="C35" s="10" t="s">
        <v>209</v>
      </c>
      <c r="D35" s="10" t="s">
        <v>210</v>
      </c>
      <c r="E35" s="10" t="s">
        <v>82</v>
      </c>
      <c r="F35" s="10" t="s">
        <v>211</v>
      </c>
      <c r="G35" s="10">
        <v>6.0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0" t="s">
        <v>207</v>
      </c>
      <c r="B36" s="10" t="s">
        <v>208</v>
      </c>
      <c r="C36" s="10" t="s">
        <v>209</v>
      </c>
      <c r="D36" s="10" t="s">
        <v>210</v>
      </c>
      <c r="E36" s="10" t="s">
        <v>82</v>
      </c>
      <c r="F36" s="10" t="s">
        <v>212</v>
      </c>
      <c r="G36" s="10">
        <v>6.0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" t="s">
        <v>213</v>
      </c>
      <c r="B37" s="10" t="s">
        <v>214</v>
      </c>
      <c r="C37" s="10" t="s">
        <v>215</v>
      </c>
      <c r="D37" s="10" t="s">
        <v>216</v>
      </c>
      <c r="E37" s="10" t="s">
        <v>88</v>
      </c>
      <c r="F37" s="10" t="s">
        <v>217</v>
      </c>
      <c r="G37" s="10">
        <v>6.0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0" t="s">
        <v>213</v>
      </c>
      <c r="B38" s="10" t="s">
        <v>214</v>
      </c>
      <c r="C38" s="10" t="s">
        <v>215</v>
      </c>
      <c r="D38" s="10" t="s">
        <v>216</v>
      </c>
      <c r="E38" s="10" t="s">
        <v>88</v>
      </c>
      <c r="F38" s="10" t="s">
        <v>218</v>
      </c>
      <c r="G38" s="10">
        <v>6.0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0" t="s">
        <v>219</v>
      </c>
      <c r="B39" s="10" t="s">
        <v>214</v>
      </c>
      <c r="C39" s="10" t="s">
        <v>220</v>
      </c>
      <c r="D39" s="10" t="s">
        <v>221</v>
      </c>
      <c r="E39" s="10" t="s">
        <v>93</v>
      </c>
      <c r="F39" s="10" t="s">
        <v>222</v>
      </c>
      <c r="G39" s="10">
        <v>6.0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 t="s">
        <v>219</v>
      </c>
      <c r="B40" s="10" t="s">
        <v>214</v>
      </c>
      <c r="C40" s="10" t="s">
        <v>220</v>
      </c>
      <c r="D40" s="10" t="s">
        <v>221</v>
      </c>
      <c r="E40" s="10" t="s">
        <v>93</v>
      </c>
      <c r="F40" s="10" t="s">
        <v>223</v>
      </c>
      <c r="G40" s="10">
        <v>6.0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0" t="s">
        <v>224</v>
      </c>
      <c r="B41" s="10" t="s">
        <v>225</v>
      </c>
      <c r="C41" s="10" t="s">
        <v>226</v>
      </c>
      <c r="D41" s="10" t="s">
        <v>227</v>
      </c>
      <c r="E41" s="10" t="s">
        <v>97</v>
      </c>
      <c r="F41" s="10" t="s">
        <v>228</v>
      </c>
      <c r="G41" s="10">
        <v>8.0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0" t="s">
        <v>229</v>
      </c>
      <c r="B42" s="10" t="s">
        <v>225</v>
      </c>
      <c r="C42" s="10" t="s">
        <v>230</v>
      </c>
      <c r="D42" s="10" t="s">
        <v>231</v>
      </c>
      <c r="E42" s="10" t="s">
        <v>103</v>
      </c>
      <c r="F42" s="10" t="s">
        <v>232</v>
      </c>
      <c r="G42" s="10">
        <v>8.0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0" t="s">
        <v>233</v>
      </c>
      <c r="B43" s="10" t="s">
        <v>234</v>
      </c>
      <c r="C43" s="10" t="s">
        <v>114</v>
      </c>
      <c r="D43" s="10" t="s">
        <v>235</v>
      </c>
      <c r="E43" s="10" t="s">
        <v>111</v>
      </c>
      <c r="F43" s="10" t="s">
        <v>236</v>
      </c>
      <c r="G43" s="10">
        <v>7.0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0" t="s">
        <v>237</v>
      </c>
      <c r="B44" s="10" t="s">
        <v>234</v>
      </c>
      <c r="C44" s="10" t="s">
        <v>238</v>
      </c>
      <c r="D44" s="10" t="s">
        <v>239</v>
      </c>
      <c r="E44" s="10" t="s">
        <v>117</v>
      </c>
      <c r="F44" s="10" t="s">
        <v>240</v>
      </c>
      <c r="G44" s="10">
        <v>7.0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0" t="s">
        <v>241</v>
      </c>
      <c r="B45" s="10" t="s">
        <v>234</v>
      </c>
      <c r="C45" s="10" t="s">
        <v>242</v>
      </c>
      <c r="D45" s="10" t="s">
        <v>243</v>
      </c>
      <c r="E45" s="10" t="s">
        <v>244</v>
      </c>
      <c r="F45" s="10" t="s">
        <v>245</v>
      </c>
      <c r="G45" s="10">
        <v>7.0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33.14"/>
    <col customWidth="1" min="3" max="3" width="45.43"/>
    <col customWidth="1" min="4" max="4" width="14.86"/>
    <col customWidth="1" min="5" max="5" width="20.57"/>
    <col customWidth="1" min="6" max="6" width="10.86"/>
    <col customWidth="1" min="7" max="7" width="54.14"/>
    <col customWidth="1" min="8" max="8" width="64.43"/>
    <col customWidth="1" min="9" max="26" width="10.71"/>
  </cols>
  <sheetData>
    <row r="1">
      <c r="A1" s="11" t="s">
        <v>246</v>
      </c>
      <c r="B1" s="11" t="s">
        <v>247</v>
      </c>
      <c r="C1" s="11" t="s">
        <v>248</v>
      </c>
      <c r="D1" s="11" t="s">
        <v>249</v>
      </c>
      <c r="E1" s="11" t="s">
        <v>250</v>
      </c>
      <c r="F1" s="11" t="s">
        <v>126</v>
      </c>
      <c r="G1" s="11" t="s">
        <v>251</v>
      </c>
      <c r="H1" s="11" t="s">
        <v>252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2" t="s">
        <v>253</v>
      </c>
      <c r="B2" s="12" t="s">
        <v>254</v>
      </c>
      <c r="C2" s="12" t="s">
        <v>255</v>
      </c>
      <c r="D2" s="12" t="s">
        <v>256</v>
      </c>
      <c r="E2" s="13" t="s">
        <v>127</v>
      </c>
      <c r="F2" s="12" t="s">
        <v>257</v>
      </c>
      <c r="G2" s="12" t="str">
        <f>CONCATENATE('TA - SP2'!$A2," ",'TA - SP2'!$B2," ",'TA - SP2'!$D2," - ",'TA - SP2'!$F2)</f>
        <v>TA-01 Crear mockup login Frontend - Sprint 2</v>
      </c>
      <c r="H2" s="12" t="str">
        <f>CONCATENATE('TA - SP2'!$B2," : ",'TA - SP2'!$C2)</f>
        <v>Crear mockup login : Diseñar pantalla con campos usuario y contraseña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 t="s">
        <v>258</v>
      </c>
      <c r="B3" s="12" t="s">
        <v>259</v>
      </c>
      <c r="C3" s="12" t="s">
        <v>255</v>
      </c>
      <c r="D3" s="12" t="s">
        <v>256</v>
      </c>
      <c r="E3" s="13" t="s">
        <v>127</v>
      </c>
      <c r="F3" s="12" t="s">
        <v>257</v>
      </c>
      <c r="G3" s="12" t="str">
        <f>CONCATENATE('TA - SP2'!$A3," ",'TA - SP2'!$B3," ",'TA - SP2'!$D3," - ",'TA - SP2'!$F3)</f>
        <v>TA-02 Crear UI login Frontend - Sprint 2</v>
      </c>
      <c r="H3" s="12" t="str">
        <f>CONCATENATE('TA - SP2'!$B3," : ",'TA - SP2'!$C3)</f>
        <v>Crear UI login : Diseñar pantalla con campos usuario y contraseña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260</v>
      </c>
      <c r="B4" s="12" t="s">
        <v>261</v>
      </c>
      <c r="C4" s="12" t="s">
        <v>262</v>
      </c>
      <c r="D4" s="12" t="s">
        <v>256</v>
      </c>
      <c r="E4" s="13" t="s">
        <v>127</v>
      </c>
      <c r="F4" s="12" t="s">
        <v>257</v>
      </c>
      <c r="G4" s="12" t="str">
        <f>CONCATENATE('TA - SP2'!$A4," ",'TA - SP2'!$B4," ",'TA - SP2'!$D4," - ",'TA - SP2'!$F4)</f>
        <v>TA-03 Validar campos obligatorios Frontend - Sprint 2</v>
      </c>
      <c r="H4" s="12" t="str">
        <f>CONCATENATE('TA - SP2'!$B4," : ",'TA - SP2'!$C4)</f>
        <v>Validar campos obligatorios : Validar que inputs no estén vacíos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263</v>
      </c>
      <c r="B5" s="12" t="s">
        <v>264</v>
      </c>
      <c r="C5" s="12" t="s">
        <v>265</v>
      </c>
      <c r="D5" s="12" t="s">
        <v>256</v>
      </c>
      <c r="E5" s="13" t="s">
        <v>127</v>
      </c>
      <c r="F5" s="12" t="s">
        <v>257</v>
      </c>
      <c r="G5" s="12" t="str">
        <f>CONCATENATE('TA - SP2'!$A5," ",'TA - SP2'!$B5," ",'TA - SP2'!$D5," - ",'TA - SP2'!$F5)</f>
        <v>TA-04 Enviar credenciales al backend Frontend - Sprint 2</v>
      </c>
      <c r="H5" s="12" t="str">
        <f>CONCATENATE('TA - SP2'!$B5," : ",'TA - SP2'!$C5)</f>
        <v>Enviar credenciales al backend : Consumir API /login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266</v>
      </c>
      <c r="B6" s="12" t="s">
        <v>267</v>
      </c>
      <c r="C6" s="12" t="s">
        <v>268</v>
      </c>
      <c r="D6" s="12" t="s">
        <v>269</v>
      </c>
      <c r="E6" s="13" t="s">
        <v>127</v>
      </c>
      <c r="F6" s="12" t="s">
        <v>257</v>
      </c>
      <c r="G6" s="12" t="str">
        <f>CONCATENATE('TA - SP2'!$A6," ",'TA - SP2'!$B6," ",'TA - SP2'!$D6," - ",'TA - SP2'!$F6)</f>
        <v>TA-05 Crear endpoint login Backend - Sprint 2</v>
      </c>
      <c r="H6" s="12" t="str">
        <f>CONCATENATE('TA - SP2'!$B6," : ",'TA - SP2'!$C6)</f>
        <v>Crear endpoint login : Implementar endpoint REST /login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 t="s">
        <v>270</v>
      </c>
      <c r="B7" s="12" t="s">
        <v>271</v>
      </c>
      <c r="C7" s="12" t="s">
        <v>272</v>
      </c>
      <c r="D7" s="12" t="s">
        <v>269</v>
      </c>
      <c r="E7" s="13" t="s">
        <v>135</v>
      </c>
      <c r="F7" s="12" t="s">
        <v>257</v>
      </c>
      <c r="G7" s="12" t="str">
        <f>CONCATENATE('TA - SP2'!$A7," ",'TA - SP2'!$B7," ",'TA - SP2'!$D7," - ",'TA - SP2'!$F7)</f>
        <v>TA-06 Buscar usuario en BD Backend - Sprint 2</v>
      </c>
      <c r="H7" s="12" t="str">
        <f>CONCATENATE('TA - SP2'!$B7," : ",'TA - SP2'!$C7)</f>
        <v>Buscar usuario en BD : Consulta por username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 t="s">
        <v>273</v>
      </c>
      <c r="B8" s="12" t="s">
        <v>274</v>
      </c>
      <c r="C8" s="12" t="s">
        <v>275</v>
      </c>
      <c r="D8" s="12" t="s">
        <v>269</v>
      </c>
      <c r="E8" s="13" t="s">
        <v>135</v>
      </c>
      <c r="F8" s="12" t="s">
        <v>257</v>
      </c>
      <c r="G8" s="12" t="str">
        <f>CONCATENATE('TA - SP2'!$A8," ",'TA - SP2'!$B8," ",'TA - SP2'!$D8," - ",'TA - SP2'!$F8)</f>
        <v>TA-07 Implementar hash (bcrypt) Backend - Sprint 2</v>
      </c>
      <c r="H8" s="12" t="str">
        <f>CONCATENATE('TA - SP2'!$B8," : ",'TA - SP2'!$C8)</f>
        <v>Implementar hash (bcrypt) : Encriptar y comparar contraseñas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 t="s">
        <v>276</v>
      </c>
      <c r="B9" s="12" t="s">
        <v>277</v>
      </c>
      <c r="C9" s="12" t="s">
        <v>278</v>
      </c>
      <c r="D9" s="12" t="s">
        <v>269</v>
      </c>
      <c r="E9" s="13" t="s">
        <v>135</v>
      </c>
      <c r="F9" s="12" t="s">
        <v>257</v>
      </c>
      <c r="G9" s="12" t="str">
        <f>CONCATENATE('TA - SP2'!$A9," ",'TA - SP2'!$B9," ",'TA - SP2'!$D9," - ",'TA - SP2'!$F9)</f>
        <v>TA-08 Validar credenciales Backend - Sprint 2</v>
      </c>
      <c r="H9" s="12" t="str">
        <f>CONCATENATE('TA - SP2'!$B9," : ",'TA - SP2'!$C9)</f>
        <v>Validar credenciales : Lógica de autenticación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 t="s">
        <v>279</v>
      </c>
      <c r="B10" s="12" t="s">
        <v>280</v>
      </c>
      <c r="C10" s="12" t="s">
        <v>281</v>
      </c>
      <c r="D10" s="12" t="s">
        <v>269</v>
      </c>
      <c r="E10" s="13" t="s">
        <v>135</v>
      </c>
      <c r="F10" s="12" t="s">
        <v>257</v>
      </c>
      <c r="G10" s="12" t="str">
        <f>CONCATENATE('TA - SP2'!$A10," ",'TA - SP2'!$B10," ",'TA - SP2'!$D10," - ",'TA - SP2'!$F10)</f>
        <v>TA-09 Retornar respuesta login Backend - Sprint 2</v>
      </c>
      <c r="H10" s="12" t="str">
        <f>CONCATENATE('TA - SP2'!$B10," : ",'TA - SP2'!$C10)</f>
        <v>Retornar respuesta login : Enviar éxito/error + datos usuario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 t="s">
        <v>282</v>
      </c>
      <c r="B11" s="12" t="s">
        <v>283</v>
      </c>
      <c r="C11" s="12" t="s">
        <v>284</v>
      </c>
      <c r="D11" s="12" t="s">
        <v>269</v>
      </c>
      <c r="E11" s="13" t="s">
        <v>141</v>
      </c>
      <c r="F11" s="12" t="s">
        <v>257</v>
      </c>
      <c r="G11" s="12" t="str">
        <f>CONCATENATE('TA - SP2'!$A11," ",'TA - SP2'!$B11," ",'TA - SP2'!$D11," - ",'TA - SP2'!$F11)</f>
        <v>TA-10 Definir errores backend Backend - Sprint 2</v>
      </c>
      <c r="H11" s="12" t="str">
        <f>CONCATENATE('TA - SP2'!$B11," : ",'TA - SP2'!$C11)</f>
        <v>Definir errores backend : Respuestas HTTP (401, 400)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" t="s">
        <v>285</v>
      </c>
      <c r="B12" s="12" t="s">
        <v>286</v>
      </c>
      <c r="C12" s="12" t="s">
        <v>287</v>
      </c>
      <c r="D12" s="12" t="s">
        <v>269</v>
      </c>
      <c r="E12" s="13" t="s">
        <v>141</v>
      </c>
      <c r="F12" s="12" t="s">
        <v>257</v>
      </c>
      <c r="G12" s="12" t="str">
        <f>CONCATENATE('TA - SP2'!$A12," ",'TA - SP2'!$B12," ",'TA - SP2'!$D12," - ",'TA - SP2'!$F12)</f>
        <v>TA-11 Manejar error usuario inexistente Backend - Sprint 2</v>
      </c>
      <c r="H12" s="12" t="str">
        <f>CONCATENATE('TA - SP2'!$B12," : ",'TA - SP2'!$C12)</f>
        <v>Manejar error usuario inexistente : Validación específica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 t="s">
        <v>288</v>
      </c>
      <c r="B13" s="12" t="s">
        <v>289</v>
      </c>
      <c r="C13" s="12" t="s">
        <v>287</v>
      </c>
      <c r="D13" s="12" t="s">
        <v>269</v>
      </c>
      <c r="E13" s="13" t="s">
        <v>141</v>
      </c>
      <c r="F13" s="12" t="s">
        <v>257</v>
      </c>
      <c r="G13" s="12" t="str">
        <f>CONCATENATE('TA - SP2'!$A13," ",'TA - SP2'!$B13," ",'TA - SP2'!$D13," - ",'TA - SP2'!$F13)</f>
        <v>TA-12 Manejar error contraseña incorrecta Backend - Sprint 2</v>
      </c>
      <c r="H13" s="12" t="str">
        <f>CONCATENATE('TA - SP2'!$B13," : ",'TA - SP2'!$C13)</f>
        <v>Manejar error contraseña incorrecta : Validación específica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 t="s">
        <v>290</v>
      </c>
      <c r="B14" s="12" t="s">
        <v>291</v>
      </c>
      <c r="C14" s="12" t="s">
        <v>292</v>
      </c>
      <c r="D14" s="12" t="s">
        <v>256</v>
      </c>
      <c r="E14" s="13" t="s">
        <v>141</v>
      </c>
      <c r="F14" s="12" t="s">
        <v>257</v>
      </c>
      <c r="G14" s="12" t="str">
        <f>CONCATENATE('TA - SP2'!$A14," ",'TA - SP2'!$B14," ",'TA - SP2'!$D14," - ",'TA - SP2'!$F14)</f>
        <v>TA-13 Mostrar errores en UI Frontend - Sprint 2</v>
      </c>
      <c r="H14" s="12" t="str">
        <f>CONCATENATE('TA - SP2'!$B14," : ",'TA - SP2'!$C14)</f>
        <v>Mostrar errores en UI : Mensajes claros al usuario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" t="s">
        <v>293</v>
      </c>
      <c r="B15" s="12" t="s">
        <v>294</v>
      </c>
      <c r="C15" s="12" t="s">
        <v>295</v>
      </c>
      <c r="D15" s="12" t="s">
        <v>269</v>
      </c>
      <c r="E15" s="13" t="s">
        <v>141</v>
      </c>
      <c r="F15" s="12" t="s">
        <v>257</v>
      </c>
      <c r="G15" s="12" t="str">
        <f>CONCATENATE('TA - SP2'!$A15," ",'TA - SP2'!$B15," ",'TA - SP2'!$D15," - ",'TA - SP2'!$F15)</f>
        <v>TA-14 Ocultar info sensible Backend - Sprint 2</v>
      </c>
      <c r="H15" s="12" t="str">
        <f>CONCATENATE('TA - SP2'!$B15," : ",'TA - SP2'!$C15)</f>
        <v>Ocultar info sensible : No exponer detalles del sistema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" t="s">
        <v>296</v>
      </c>
      <c r="B16" s="12" t="s">
        <v>297</v>
      </c>
      <c r="C16" s="12" t="s">
        <v>298</v>
      </c>
      <c r="D16" s="12" t="s">
        <v>269</v>
      </c>
      <c r="E16" s="13" t="s">
        <v>147</v>
      </c>
      <c r="F16" s="12" t="s">
        <v>257</v>
      </c>
      <c r="G16" s="12" t="str">
        <f>CONCATENATE('TA - SP2'!$A16," ",'TA - SP2'!$B16," ",'TA - SP2'!$D16," - ",'TA - SP2'!$F16)</f>
        <v>TA-15 Generar JWT Backend - Sprint 2</v>
      </c>
      <c r="H16" s="12" t="str">
        <f>CONCATENATE('TA - SP2'!$B16," : ",'TA - SP2'!$C16)</f>
        <v>Generar JWT : Crear token de autenticación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 t="s">
        <v>299</v>
      </c>
      <c r="B17" s="12" t="s">
        <v>300</v>
      </c>
      <c r="C17" s="12" t="s">
        <v>301</v>
      </c>
      <c r="D17" s="12" t="s">
        <v>269</v>
      </c>
      <c r="E17" s="13" t="s">
        <v>147</v>
      </c>
      <c r="F17" s="12" t="s">
        <v>257</v>
      </c>
      <c r="G17" s="12" t="str">
        <f>CONCATENATE('TA - SP2'!$A17," ",'TA - SP2'!$B17," ",'TA - SP2'!$D17," - ",'TA - SP2'!$F17)</f>
        <v>TA-16 Incluir datos en token Backend - Sprint 2</v>
      </c>
      <c r="H17" s="12" t="str">
        <f>CONCATENATE('TA - SP2'!$B17," : ",'TA - SP2'!$C17)</f>
        <v>Incluir datos en token : ID usuario + rol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" t="s">
        <v>302</v>
      </c>
      <c r="B18" s="12" t="s">
        <v>303</v>
      </c>
      <c r="C18" s="12" t="s">
        <v>304</v>
      </c>
      <c r="D18" s="12" t="s">
        <v>256</v>
      </c>
      <c r="E18" s="13" t="s">
        <v>147</v>
      </c>
      <c r="F18" s="12" t="s">
        <v>257</v>
      </c>
      <c r="G18" s="12" t="str">
        <f>CONCATENATE('TA - SP2'!$A18," ",'TA - SP2'!$B18," ",'TA - SP2'!$D18," - ",'TA - SP2'!$F18)</f>
        <v>TA-17 Guardar token en app Frontend - Sprint 2</v>
      </c>
      <c r="H18" s="12" t="str">
        <f>CONCATENATE('TA - SP2'!$B18," : ",'TA - SP2'!$C18)</f>
        <v>Guardar token en app : Usar SharedPreferences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2" t="s">
        <v>305</v>
      </c>
      <c r="B19" s="12" t="s">
        <v>306</v>
      </c>
      <c r="C19" s="12" t="s">
        <v>307</v>
      </c>
      <c r="D19" s="12" t="s">
        <v>269</v>
      </c>
      <c r="E19" s="13" t="s">
        <v>147</v>
      </c>
      <c r="F19" s="12" t="s">
        <v>257</v>
      </c>
      <c r="G19" s="12" t="str">
        <f>CONCATENATE('TA - SP2'!$A19," ",'TA - SP2'!$B19," ",'TA - SP2'!$D19," - ",'TA - SP2'!$F19)</f>
        <v>TA-18 Validar token (middleware) Backend - Sprint 2</v>
      </c>
      <c r="H19" s="12" t="str">
        <f>CONCATENATE('TA - SP2'!$B19," : ",'TA - SP2'!$C19)</f>
        <v>Validar token (middleware) : Verificar en cada request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" t="s">
        <v>308</v>
      </c>
      <c r="B20" s="12" t="s">
        <v>309</v>
      </c>
      <c r="C20" s="12" t="s">
        <v>310</v>
      </c>
      <c r="D20" s="12" t="s">
        <v>256</v>
      </c>
      <c r="E20" s="12" t="s">
        <v>147</v>
      </c>
      <c r="F20" s="12" t="s">
        <v>257</v>
      </c>
      <c r="G20" s="12" t="str">
        <f>CONCATENATE('TA - SP2'!$A20," ",'TA - SP2'!$B20," ",'TA - SP2'!$D20," - ",'TA - SP2'!$F20)</f>
        <v>TA-19 Implementar logout Frontend - Sprint 2</v>
      </c>
      <c r="H20" s="12" t="str">
        <f>CONCATENATE('TA - SP2'!$B20," : ",'TA - SP2'!$C20)</f>
        <v>Implementar logout : Eliminar token / sesión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4" t="s">
        <v>311</v>
      </c>
      <c r="B21" s="14" t="s">
        <v>312</v>
      </c>
      <c r="C21" s="14" t="s">
        <v>313</v>
      </c>
      <c r="D21" s="14" t="s">
        <v>269</v>
      </c>
      <c r="E21" s="14" t="s">
        <v>153</v>
      </c>
      <c r="F21" s="14" t="s">
        <v>257</v>
      </c>
      <c r="G21" s="14" t="str">
        <f>CONCATENATE('TA - SP2'!$A21," ",'TA - SP2'!$B21," ",'TA - SP2'!$D21," - ",'TA - SP2'!$F21)</f>
        <v>TA-20 Definir roles en BD Backend - Sprint 2</v>
      </c>
      <c r="H21" s="14" t="str">
        <f>CONCATENATE('TA - SP2'!$B21," : ",'TA - SP2'!$C21)</f>
        <v>Definir roles en BD : Guardia, Supervisor, Admin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4" t="s">
        <v>314</v>
      </c>
      <c r="B22" s="14" t="s">
        <v>315</v>
      </c>
      <c r="C22" s="14" t="s">
        <v>316</v>
      </c>
      <c r="D22" s="14" t="s">
        <v>269</v>
      </c>
      <c r="E22" s="14" t="s">
        <v>153</v>
      </c>
      <c r="F22" s="14" t="s">
        <v>257</v>
      </c>
      <c r="G22" s="14" t="str">
        <f>CONCATENATE('TA - SP2'!$A22," ",'TA - SP2'!$B22," ",'TA - SP2'!$D22," - ",'TA - SP2'!$F22)</f>
        <v>TA-21 Asociar rol a usuario Backend - Sprint 2</v>
      </c>
      <c r="H22" s="14" t="str">
        <f>CONCATENATE('TA - SP2'!$B22," : ",'TA - SP2'!$C22)</f>
        <v>Asociar rol a usuario : Relación en base de datos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4" t="s">
        <v>317</v>
      </c>
      <c r="B23" s="14" t="s">
        <v>318</v>
      </c>
      <c r="C23" s="14" t="s">
        <v>319</v>
      </c>
      <c r="D23" s="14" t="s">
        <v>269</v>
      </c>
      <c r="E23" s="14" t="s">
        <v>153</v>
      </c>
      <c r="F23" s="14" t="s">
        <v>257</v>
      </c>
      <c r="G23" s="14" t="str">
        <f>CONCATENATE('TA - SP2'!$A23," ",'TA - SP2'!$B23," ",'TA - SP2'!$D23," - ",'TA - SP2'!$F23)</f>
        <v>TA-22 Validar rol en backend Backend - Sprint 2</v>
      </c>
      <c r="H23" s="14" t="str">
        <f>CONCATENATE('TA - SP2'!$B23," : ",'TA - SP2'!$C23)</f>
        <v>Validar rol en backend : Middleware de autorización(?)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4" t="s">
        <v>320</v>
      </c>
      <c r="B24" s="14" t="s">
        <v>321</v>
      </c>
      <c r="C24" s="14" t="s">
        <v>322</v>
      </c>
      <c r="D24" s="14" t="s">
        <v>269</v>
      </c>
      <c r="E24" s="14" t="s">
        <v>153</v>
      </c>
      <c r="F24" s="14" t="s">
        <v>257</v>
      </c>
      <c r="G24" s="14" t="str">
        <f>CONCATENATE('TA - SP2'!$A24," ",'TA - SP2'!$B24," ",'TA - SP2'!$D24," - ",'TA - SP2'!$F24)</f>
        <v>TA-23 Restringir endpoints Backend - Sprint 2</v>
      </c>
      <c r="H24" s="14" t="str">
        <f>CONCATENATE('TA - SP2'!$B24," : ",'TA - SP2'!$C24)</f>
        <v>Restringir endpoints : Acceso según rol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4" t="s">
        <v>323</v>
      </c>
      <c r="B25" s="14" t="s">
        <v>324</v>
      </c>
      <c r="C25" s="14" t="s">
        <v>325</v>
      </c>
      <c r="D25" s="14" t="s">
        <v>256</v>
      </c>
      <c r="E25" s="14" t="s">
        <v>153</v>
      </c>
      <c r="F25" s="14" t="s">
        <v>257</v>
      </c>
      <c r="G25" s="14" t="str">
        <f>CONCATENATE('TA - SP2'!$A25," ",'TA - SP2'!$B25," ",'TA - SP2'!$D25," - ",'TA - SP2'!$F25)</f>
        <v>TA-24 Proteger vistas frontend Frontend - Sprint 2</v>
      </c>
      <c r="H25" s="14" t="str">
        <f>CONCATENATE('TA - SP2'!$B25," : ",'TA - SP2'!$C25)</f>
        <v>Proteger vistas frontend : Ocultar accesos no permitidos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4" t="s">
        <v>326</v>
      </c>
      <c r="B26" s="14" t="s">
        <v>327</v>
      </c>
      <c r="C26" s="14" t="s">
        <v>328</v>
      </c>
      <c r="D26" s="14" t="s">
        <v>256</v>
      </c>
      <c r="E26" s="14" t="s">
        <v>160</v>
      </c>
      <c r="F26" s="14" t="s">
        <v>257</v>
      </c>
      <c r="G26" s="14" t="str">
        <f>CONCATENATE('TA - SP2'!$A26," ",'TA - SP2'!$B26," ",'TA - SP2'!$D26," - ",'TA - SP2'!$F26)</f>
        <v>TA-25 Crear vista guardia Frontend - Sprint 2</v>
      </c>
      <c r="H26" s="14" t="str">
        <f>CONCATENATE('TA - SP2'!$B26," : ",'TA - SP2'!$C26)</f>
        <v>Crear vista guardia : Pantalla de rondas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4" t="s">
        <v>329</v>
      </c>
      <c r="B27" s="14" t="s">
        <v>330</v>
      </c>
      <c r="C27" s="14" t="s">
        <v>331</v>
      </c>
      <c r="D27" s="14" t="s">
        <v>256</v>
      </c>
      <c r="E27" s="14" t="s">
        <v>160</v>
      </c>
      <c r="F27" s="14" t="s">
        <v>257</v>
      </c>
      <c r="G27" s="14" t="str">
        <f>CONCATENATE('TA - SP2'!$A27," ",'TA - SP2'!$B27," ",'TA - SP2'!$D27," - ",'TA - SP2'!$F27)</f>
        <v>TA-26 Crear vista supervisor Frontend - Sprint 2</v>
      </c>
      <c r="H27" s="14" t="str">
        <f>CONCATENATE('TA - SP2'!$B27," : ",'TA - SP2'!$C27)</f>
        <v>Crear vista supervisor : Pantalla monitoreo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4" t="s">
        <v>332</v>
      </c>
      <c r="B28" s="14" t="s">
        <v>333</v>
      </c>
      <c r="C28" s="14" t="s">
        <v>334</v>
      </c>
      <c r="D28" s="14" t="s">
        <v>256</v>
      </c>
      <c r="E28" s="14" t="s">
        <v>160</v>
      </c>
      <c r="F28" s="14" t="s">
        <v>257</v>
      </c>
      <c r="G28" s="14" t="str">
        <f>CONCATENATE('TA - SP2'!$A28," ",'TA - SP2'!$B28," ",'TA - SP2'!$D28," - ",'TA - SP2'!$F28)</f>
        <v>TA-27 Crear vista admin Frontend - Sprint 2</v>
      </c>
      <c r="H28" s="14" t="str">
        <f>CONCATENATE('TA - SP2'!$B28," : ",'TA - SP2'!$C28)</f>
        <v>Crear vista admin : Dashboard completo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4" t="s">
        <v>335</v>
      </c>
      <c r="B29" s="14" t="s">
        <v>336</v>
      </c>
      <c r="C29" s="14" t="s">
        <v>337</v>
      </c>
      <c r="D29" s="14" t="s">
        <v>256</v>
      </c>
      <c r="E29" s="14" t="s">
        <v>160</v>
      </c>
      <c r="F29" s="14" t="s">
        <v>257</v>
      </c>
      <c r="G29" s="14" t="str">
        <f>CONCATENATE('TA - SP2'!$A29," ",'TA - SP2'!$B29," ",'TA - SP2'!$D29," - ",'TA - SP2'!$F29)</f>
        <v>TA-28 Implementar redirección Frontend - Sprint 2</v>
      </c>
      <c r="H29" s="14" t="str">
        <f>CONCATENATE('TA - SP2'!$B29," : ",'TA - SP2'!$C29)</f>
        <v>Implementar redirección : Navegar según rol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4" t="s">
        <v>338</v>
      </c>
      <c r="B30" s="14" t="s">
        <v>339</v>
      </c>
      <c r="C30" s="14" t="s">
        <v>340</v>
      </c>
      <c r="D30" s="14" t="s">
        <v>256</v>
      </c>
      <c r="E30" s="14" t="s">
        <v>160</v>
      </c>
      <c r="F30" s="14" t="s">
        <v>257</v>
      </c>
      <c r="G30" s="14" t="str">
        <f>CONCATENATE('TA - SP2'!$A30," ",'TA - SP2'!$B30," ",'TA - SP2'!$D30," - ",'TA - SP2'!$F30)</f>
        <v>TA-29 Validar acceso directo Frontend - Sprint 2</v>
      </c>
      <c r="H30" s="14" t="str">
        <f>CONCATENATE('TA - SP2'!$B30," : ",'TA - SP2'!$C30)</f>
        <v>Validar acceso directo : Bloquear rutas sin login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" t="s">
        <v>341</v>
      </c>
      <c r="B31" s="12" t="s">
        <v>342</v>
      </c>
      <c r="C31" s="12" t="s">
        <v>343</v>
      </c>
      <c r="D31" s="12" t="s">
        <v>344</v>
      </c>
      <c r="E31" s="12" t="s">
        <v>344</v>
      </c>
      <c r="F31" s="12" t="s">
        <v>257</v>
      </c>
      <c r="G31" s="12" t="str">
        <f>CONCATENATE('TA - SP2'!$A31," ",'TA - SP2'!$B31," ",'TA - SP2'!$D31," - ",'TA - SP2'!$F31)</f>
        <v>TA-30 Prueba login exitoso QA - Sprint 2</v>
      </c>
      <c r="H31" s="12" t="str">
        <f>CONCATENATE('TA - SP2'!$B31," : ",'TA - SP2'!$C31)</f>
        <v>Prueba login exitoso : Validar acceso correcto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 t="s">
        <v>345</v>
      </c>
      <c r="B32" s="12" t="s">
        <v>346</v>
      </c>
      <c r="C32" s="12" t="s">
        <v>347</v>
      </c>
      <c r="D32" s="12" t="s">
        <v>344</v>
      </c>
      <c r="E32" s="12" t="s">
        <v>344</v>
      </c>
      <c r="F32" s="12" t="s">
        <v>257</v>
      </c>
      <c r="G32" s="12" t="str">
        <f>CONCATENATE('TA - SP2'!$A32," ",'TA - SP2'!$B32," ",'TA - SP2'!$D32," - ",'TA - SP2'!$F32)</f>
        <v>TA-31 Prueba usuario inexistente QA - Sprint 2</v>
      </c>
      <c r="H32" s="12" t="str">
        <f>CONCATENATE('TA - SP2'!$B32," : ",'TA - SP2'!$C32)</f>
        <v>Prueba usuario inexistente : Validar error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 t="s">
        <v>348</v>
      </c>
      <c r="B33" s="12" t="s">
        <v>349</v>
      </c>
      <c r="C33" s="12" t="s">
        <v>347</v>
      </c>
      <c r="D33" s="12" t="s">
        <v>344</v>
      </c>
      <c r="E33" s="12" t="s">
        <v>344</v>
      </c>
      <c r="F33" s="12" t="s">
        <v>257</v>
      </c>
      <c r="G33" s="12" t="str">
        <f>CONCATENATE('TA - SP2'!$A33," ",'TA - SP2'!$B33," ",'TA - SP2'!$D33," - ",'TA - SP2'!$F33)</f>
        <v>TA-32 Prueba contraseña incorrecta QA - Sprint 2</v>
      </c>
      <c r="H33" s="12" t="str">
        <f>CONCATENATE('TA - SP2'!$B33," : ",'TA - SP2'!$C33)</f>
        <v>Prueba contraseña incorrecta : Validar error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2" t="s">
        <v>350</v>
      </c>
      <c r="B34" s="12" t="s">
        <v>351</v>
      </c>
      <c r="C34" s="12" t="s">
        <v>352</v>
      </c>
      <c r="D34" s="12" t="s">
        <v>344</v>
      </c>
      <c r="E34" s="12" t="s">
        <v>344</v>
      </c>
      <c r="F34" s="12" t="s">
        <v>257</v>
      </c>
      <c r="G34" s="12" t="str">
        <f>CONCATENATE('TA - SP2'!$A34," ",'TA - SP2'!$B34," ",'TA - SP2'!$D34," - ",'TA - SP2'!$F34)</f>
        <v>TA-33 Prueba control por rol QA - Sprint 2</v>
      </c>
      <c r="H34" s="12" t="str">
        <f>CONCATENATE('TA - SP2'!$B34," : ",'TA - SP2'!$C34)</f>
        <v>Prueba control por rol : Validar permisos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" t="s">
        <v>353</v>
      </c>
      <c r="B35" s="12" t="s">
        <v>354</v>
      </c>
      <c r="C35" s="12" t="s">
        <v>355</v>
      </c>
      <c r="D35" s="12" t="s">
        <v>344</v>
      </c>
      <c r="E35" s="12" t="s">
        <v>344</v>
      </c>
      <c r="F35" s="12" t="s">
        <v>257</v>
      </c>
      <c r="G35" s="12" t="str">
        <f>CONCATENATE('TA - SP2'!$A35," ",'TA - SP2'!$B35," ",'TA - SP2'!$D35," - ",'TA - SP2'!$F35)</f>
        <v>TA-34 Prueba sesión/token QA - Sprint 2</v>
      </c>
      <c r="H35" s="12" t="str">
        <f>CONCATENATE('TA - SP2'!$B35," : ",'TA - SP2'!$C35)</f>
        <v>Prueba sesión/token : Validar persistencia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" t="s">
        <v>356</v>
      </c>
      <c r="B36" s="12" t="s">
        <v>357</v>
      </c>
      <c r="C36" s="12" t="s">
        <v>358</v>
      </c>
      <c r="D36" s="12" t="s">
        <v>359</v>
      </c>
      <c r="E36" s="12" t="s">
        <v>359</v>
      </c>
      <c r="F36" s="12" t="s">
        <v>257</v>
      </c>
      <c r="G36" s="12" t="str">
        <f>CONCATENATE('TA - SP2'!$A36," ",'TA - SP2'!$B36," ",'TA - SP2'!$D36," - ",'TA - SP2'!$F36)</f>
        <v>TA-35 Documentar endpoint login Documentación - Sprint 2</v>
      </c>
      <c r="H36" s="12" t="str">
        <f>CONCATENATE('TA - SP2'!$B36," : ",'TA - SP2'!$C36)</f>
        <v>Documentar endpoint login : Request/response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" t="s">
        <v>360</v>
      </c>
      <c r="B37" s="12" t="s">
        <v>361</v>
      </c>
      <c r="C37" s="12" t="s">
        <v>362</v>
      </c>
      <c r="D37" s="12" t="s">
        <v>359</v>
      </c>
      <c r="E37" s="12" t="s">
        <v>359</v>
      </c>
      <c r="F37" s="12" t="s">
        <v>257</v>
      </c>
      <c r="G37" s="12" t="str">
        <f>CONCATENATE('TA - SP2'!$A37," ",'TA - SP2'!$B37," ",'TA - SP2'!$D37," - ",'TA - SP2'!$F37)</f>
        <v>TA-36 Documentar flujo login Documentación - Sprint 2</v>
      </c>
      <c r="H37" s="12" t="str">
        <f>CONCATENATE('TA - SP2'!$B37," : ",'TA - SP2'!$C37)</f>
        <v>Documentar flujo login : Diagrama + explicación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2" t="s">
        <v>363</v>
      </c>
      <c r="B38" s="12" t="s">
        <v>364</v>
      </c>
      <c r="C38" s="12" t="s">
        <v>365</v>
      </c>
      <c r="D38" s="12" t="s">
        <v>359</v>
      </c>
      <c r="E38" s="12" t="s">
        <v>359</v>
      </c>
      <c r="F38" s="12" t="s">
        <v>257</v>
      </c>
      <c r="G38" s="12" t="str">
        <f>CONCATENATE('TA - SP2'!$A38," ",'TA - SP2'!$B38," ",'TA - SP2'!$D38," - ",'TA - SP2'!$F38)</f>
        <v>TA-37 Documentar pruebas Documentación - Sprint 2</v>
      </c>
      <c r="H38" s="12" t="str">
        <f>CONCATENATE('TA - SP2'!$B38," : ",'TA - SP2'!$C38)</f>
        <v>Documentar pruebas : Evidencia QA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95.86"/>
    <col customWidth="1" min="3" max="26" width="10.71"/>
  </cols>
  <sheetData>
    <row r="1">
      <c r="A1" s="15" t="s">
        <v>366</v>
      </c>
      <c r="B1" s="15" t="s">
        <v>367</v>
      </c>
    </row>
    <row r="2" ht="404.25" customHeight="1">
      <c r="A2" s="10" t="s">
        <v>368</v>
      </c>
      <c r="B2" s="16" t="s">
        <v>369</v>
      </c>
    </row>
    <row r="3">
      <c r="A3" s="10" t="s">
        <v>370</v>
      </c>
      <c r="B3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Catalina Leal Rodríguez</dc:creator>
</cp:coreProperties>
</file>